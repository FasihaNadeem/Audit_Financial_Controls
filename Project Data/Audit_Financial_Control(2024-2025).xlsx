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2" activeTab="3" autoFilterDateGrouping="1"/>
  </bookViews>
  <sheets>
    <sheet xmlns:r="http://schemas.openxmlformats.org/officeDocument/2006/relationships" name="RAW_DATA" sheetId="1" state="visible" r:id="rId1"/>
    <sheet xmlns:r="http://schemas.openxmlformats.org/officeDocument/2006/relationships" name="VENDOR_MASTER" sheetId="2" state="visible" r:id="rId2"/>
    <sheet xmlns:r="http://schemas.openxmlformats.org/officeDocument/2006/relationships" name="SAMPLING" sheetId="3" state="visible" r:id="rId3"/>
    <sheet xmlns:r="http://schemas.openxmlformats.org/officeDocument/2006/relationships" name="AUDIT_PROGRAM" sheetId="4" state="visible" r:id="rId4"/>
    <sheet xmlns:r="http://schemas.openxmlformats.org/officeDocument/2006/relationships" name="FINDINGS_TEMPLATE" sheetId="5" state="visible" r:id="rId5"/>
  </sheets>
  <definedNames>
    <definedName name="_xlnm._FilterDatabase" localSheetId="0" hidden="1">'RAW_DATA'!$A$2:$M$500</definedName>
  </definedNames>
  <calcPr calcId="191028" fullCalcOnLoad="1"/>
</workbook>
</file>

<file path=xl/styles.xml><?xml version="1.0" encoding="utf-8"?>
<styleSheet xmlns="http://schemas.openxmlformats.org/spreadsheetml/2006/main">
  <numFmts count="1">
    <numFmt numFmtId="164" formatCode="dd\-mmm\-yyyy"/>
  </numFmts>
  <fonts count="20">
    <font>
      <name val="Calibri"/>
      <family val="2"/>
      <color theme="1"/>
      <sz val="11"/>
      <scheme val="minor"/>
    </font>
    <font>
      <name val="Calibri"/>
      <b val="1"/>
      <color rgb="FFFFFFFF"/>
      <sz val="13"/>
    </font>
    <font>
      <name val="Calibri"/>
      <b val="1"/>
      <color rgb="FFFFFFFF"/>
      <sz val="10"/>
    </font>
    <font>
      <name val="Calibri"/>
      <color rgb="FF000000"/>
      <sz val="10"/>
    </font>
    <font>
      <name val="Calibri"/>
      <b val="1"/>
      <color rgb="FFFFFFFF"/>
      <sz val="11"/>
    </font>
    <font>
      <name val="Calibri"/>
      <b val="1"/>
      <color rgb="FF000000"/>
      <sz val="10"/>
    </font>
    <font>
      <name val="Calibri"/>
      <charset val="1"/>
      <color rgb="FF000000"/>
      <sz val="10"/>
    </font>
    <font>
      <name val="Calibri"/>
      <color rgb="FF000000"/>
      <sz val="11"/>
      <scheme val="minor"/>
    </font>
    <font>
      <name val="Calibri"/>
      <color rgb="FF374151"/>
      <sz val="10"/>
      <scheme val="minor"/>
    </font>
    <font>
      <name val="Calibri"/>
      <i val="1"/>
      <color rgb="FF000000"/>
      <sz val="10"/>
    </font>
    <font>
      <name val="Calibri"/>
      <color rgb="FF000000"/>
      <sz val="9"/>
    </font>
    <font>
      <name val="Arial"/>
      <b val="1"/>
      <color rgb="00FFFFFF"/>
      <sz val="10"/>
    </font>
    <font>
      <name val="Arial"/>
      <sz val="9"/>
    </font>
    <font>
      <name val="Arial"/>
      <color rgb="00375623"/>
      <sz val="9"/>
    </font>
    <font>
      <name val="Arial"/>
      <b val="1"/>
      <color rgb="00FFFFFF"/>
      <sz val="13"/>
    </font>
    <font>
      <name val="Arial"/>
      <b val="1"/>
      <color rgb="001F3864"/>
      <sz val="10"/>
    </font>
    <font>
      <name val="Arial"/>
      <sz val="10"/>
    </font>
    <font>
      <name val="Arial"/>
      <b val="1"/>
      <color rgb="00375623"/>
      <sz val="10"/>
    </font>
    <font>
      <name val="Arial"/>
      <b val="1"/>
      <color rgb="00C00000"/>
      <sz val="10"/>
    </font>
    <font>
      <name val="Arial"/>
      <b val="1"/>
      <color rgb="00FFFFFF"/>
      <sz val="11"/>
    </font>
  </fonts>
  <fills count="19">
    <fill>
      <patternFill/>
    </fill>
    <fill>
      <patternFill patternType="gray125"/>
    </fill>
    <fill>
      <patternFill patternType="solid">
        <fgColor rgb="FF1F3864"/>
      </patternFill>
    </fill>
    <fill>
      <patternFill patternType="solid">
        <fgColor rgb="FF2E75B6"/>
      </patternFill>
    </fill>
    <fill>
      <patternFill patternType="solid">
        <fgColor rgb="FFF2F2F2"/>
      </patternFill>
    </fill>
    <fill>
      <patternFill patternType="solid">
        <fgColor rgb="FFFFFFFF"/>
      </patternFill>
    </fill>
    <fill>
      <patternFill patternType="solid">
        <fgColor rgb="FFC00000"/>
      </patternFill>
    </fill>
    <fill>
      <patternFill patternType="solid">
        <fgColor theme="9" tint="0.5999938962981048"/>
        <bgColor indexed="64"/>
      </patternFill>
    </fill>
    <fill>
      <patternFill patternType="solid">
        <fgColor theme="9"/>
        <bgColor indexed="64"/>
      </patternFill>
    </fill>
    <fill>
      <patternFill patternType="solid">
        <fgColor theme="9" tint="0.7999816888943144"/>
        <bgColor indexed="64"/>
      </patternFill>
    </fill>
    <fill>
      <patternFill patternType="solid">
        <fgColor rgb="FFE0DD72"/>
        <bgColor indexed="64"/>
      </patternFill>
    </fill>
    <fill>
      <patternFill patternType="solid">
        <fgColor rgb="001F3864"/>
      </patternFill>
    </fill>
    <fill>
      <patternFill patternType="solid">
        <fgColor rgb="00FFFFFF"/>
      </patternFill>
    </fill>
    <fill>
      <patternFill patternType="solid">
        <fgColor rgb="00E2EFDA"/>
      </patternFill>
    </fill>
    <fill>
      <patternFill patternType="solid">
        <fgColor rgb="00F2F2F2"/>
      </patternFill>
    </fill>
    <fill>
      <patternFill patternType="solid">
        <fgColor rgb="00BDD7EE"/>
      </patternFill>
    </fill>
    <fill>
      <patternFill patternType="solid">
        <fgColor rgb="00FCE4D6"/>
      </patternFill>
    </fill>
    <fill>
      <patternFill patternType="solid">
        <fgColor rgb="00375623"/>
      </patternFill>
    </fill>
    <fill>
      <patternFill patternType="solid">
        <fgColor rgb="002E75B6"/>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000000"/>
      </left>
      <right style="thin">
        <color rgb="FF000000"/>
      </right>
      <top style="thin">
        <color rgb="FF000000"/>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164" fontId="3" fillId="4" borderId="1" applyAlignment="1" pivotButton="0" quotePrefix="0" xfId="0">
      <alignment horizontal="center" vertical="center" wrapText="1"/>
    </xf>
    <xf numFmtId="3" fontId="3" fillId="4" borderId="1" applyAlignment="1" pivotButton="0" quotePrefix="0" xfId="0">
      <alignment horizontal="right" vertical="center"/>
    </xf>
    <xf numFmtId="0" fontId="3" fillId="5" borderId="1" applyAlignment="1" pivotButton="0" quotePrefix="0" xfId="0">
      <alignment horizontal="left" vertical="center"/>
    </xf>
    <xf numFmtId="164" fontId="3" fillId="5" borderId="1" applyAlignment="1" pivotButton="0" quotePrefix="0" xfId="0">
      <alignment horizontal="center" vertical="center" wrapText="1"/>
    </xf>
    <xf numFmtId="3" fontId="3" fillId="5" borderId="1" applyAlignment="1" pivotButton="0" quotePrefix="0" xfId="0">
      <alignment horizontal="right"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5" borderId="1" applyAlignment="1" pivotButton="0" quotePrefix="0" xfId="0">
      <alignment horizontal="left" vertical="center" wrapText="1"/>
    </xf>
    <xf numFmtId="0" fontId="0" fillId="0" borderId="0" pivotButton="0" quotePrefix="0" xfId="0"/>
    <xf numFmtId="0" fontId="3" fillId="7" borderId="1" applyAlignment="1" pivotButton="0" quotePrefix="0" xfId="0">
      <alignment horizontal="left" vertical="center"/>
    </xf>
    <xf numFmtId="164" fontId="3" fillId="7" borderId="1" applyAlignment="1" pivotButton="0" quotePrefix="0" xfId="0">
      <alignment horizontal="center" vertical="center" wrapText="1"/>
    </xf>
    <xf numFmtId="3" fontId="3" fillId="7" borderId="1" applyAlignment="1" pivotButton="0" quotePrefix="0" xfId="0">
      <alignment horizontal="right" vertical="center"/>
    </xf>
    <xf numFmtId="0" fontId="0" fillId="7" borderId="0" pivotButton="0" quotePrefix="0" xfId="0"/>
    <xf numFmtId="0" fontId="9"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 fillId="2" borderId="0" applyAlignment="1" pivotButton="0" quotePrefix="0" xfId="0">
      <alignment horizontal="center" vertical="center" wrapText="1"/>
    </xf>
    <xf numFmtId="0" fontId="0" fillId="0" borderId="0" pivotButton="0" quotePrefix="0" xfId="0"/>
    <xf numFmtId="0" fontId="4" fillId="3"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8" borderId="1" applyAlignment="1" pivotButton="0" quotePrefix="0" xfId="0">
      <alignment horizontal="left" vertical="center"/>
    </xf>
    <xf numFmtId="164" fontId="3" fillId="8" borderId="1" applyAlignment="1" pivotButton="0" quotePrefix="0" xfId="0">
      <alignment horizontal="center" vertical="center" wrapText="1"/>
    </xf>
    <xf numFmtId="3" fontId="3" fillId="8" borderId="1" applyAlignment="1" pivotButton="0" quotePrefix="0" xfId="0">
      <alignment horizontal="right" vertical="center"/>
    </xf>
    <xf numFmtId="0" fontId="0" fillId="8" borderId="0" pivotButton="0" quotePrefix="0" xfId="0"/>
    <xf numFmtId="0" fontId="0" fillId="10" borderId="2" applyAlignment="1" pivotButton="0" quotePrefix="0" xfId="0">
      <alignment horizontal="center" vertical="center" wrapText="1"/>
    </xf>
    <xf numFmtId="0" fontId="0" fillId="10" borderId="2" applyAlignment="1" pivotButton="0" quotePrefix="0" xfId="0">
      <alignment wrapText="1"/>
    </xf>
    <xf numFmtId="0" fontId="0" fillId="10" borderId="2" applyAlignment="1" pivotButton="0" quotePrefix="0" xfId="0">
      <alignment horizontal="left" vertical="center" wrapText="1"/>
    </xf>
    <xf numFmtId="3" fontId="0" fillId="10" borderId="2" applyAlignment="1" pivotButton="0" quotePrefix="0" xfId="0">
      <alignment vertical="center"/>
    </xf>
    <xf numFmtId="0" fontId="6" fillId="10" borderId="2" applyAlignment="1" pivotButton="0" quotePrefix="0" xfId="0">
      <alignment vertical="center"/>
    </xf>
    <xf numFmtId="0" fontId="0" fillId="5" borderId="3" applyAlignment="1" pivotButton="0" quotePrefix="0" xfId="0">
      <alignment horizontal="left" vertical="center" wrapText="1"/>
    </xf>
    <xf numFmtId="0" fontId="2" fillId="2" borderId="4" applyAlignment="1" pivotButton="0" quotePrefix="0" xfId="0">
      <alignment horizontal="center" vertical="center" wrapText="1"/>
    </xf>
    <xf numFmtId="0" fontId="0" fillId="9" borderId="5" applyAlignment="1" pivotButton="0" quotePrefix="0" xfId="0">
      <alignment horizontal="center" vertical="center" wrapText="1"/>
    </xf>
    <xf numFmtId="0" fontId="7" fillId="9" borderId="5" applyAlignment="1" pivotButton="0" quotePrefix="0" xfId="0">
      <alignment vertical="center" wrapText="1"/>
    </xf>
    <xf numFmtId="0" fontId="7" fillId="9" borderId="5" applyAlignment="1" pivotButton="0" quotePrefix="0" xfId="0">
      <alignment wrapText="1"/>
    </xf>
    <xf numFmtId="0" fontId="0" fillId="9" borderId="5" applyAlignment="1" pivotButton="0" quotePrefix="0" xfId="0">
      <alignment horizontal="left" vertical="center" wrapText="1"/>
    </xf>
    <xf numFmtId="0" fontId="8" fillId="9" borderId="5" applyAlignment="1" pivotButton="0" quotePrefix="0" xfId="0">
      <alignment vertical="center"/>
    </xf>
    <xf numFmtId="0" fontId="2" fillId="0" borderId="1" applyAlignment="1" pivotButton="0" quotePrefix="0" xfId="0">
      <alignment horizontal="center" vertical="center" wrapText="1"/>
    </xf>
    <xf numFmtId="0" fontId="11" fillId="11" borderId="6" applyAlignment="1" pivotButton="0" quotePrefix="0" xfId="0">
      <alignment horizontal="center" vertical="center" wrapText="1"/>
    </xf>
    <xf numFmtId="0" fontId="12" fillId="12" borderId="6" applyAlignment="1" pivotButton="0" quotePrefix="0" xfId="0">
      <alignment horizontal="center" vertical="center" wrapText="1"/>
    </xf>
    <xf numFmtId="0" fontId="13" fillId="13" borderId="6" applyAlignment="1" pivotButton="0" quotePrefix="0" xfId="0">
      <alignment horizontal="center" vertical="center" wrapText="1"/>
    </xf>
    <xf numFmtId="0" fontId="0" fillId="0" borderId="6" applyAlignment="1" pivotButton="0" quotePrefix="0" xfId="0">
      <alignment horizontal="left" vertical="center" wrapText="1"/>
    </xf>
    <xf numFmtId="0" fontId="12" fillId="14" borderId="6" applyAlignment="1" pivotButton="0" quotePrefix="0" xfId="0">
      <alignment horizontal="center" vertical="center" wrapText="1"/>
    </xf>
    <xf numFmtId="0" fontId="12" fillId="13" borderId="6" applyAlignment="1" pivotButton="0" quotePrefix="0" xfId="0">
      <alignment horizontal="center" vertical="center" wrapText="1"/>
    </xf>
    <xf numFmtId="0" fontId="12" fillId="13" borderId="6" applyAlignment="1" pivotButton="0" quotePrefix="0" xfId="0">
      <alignment horizontal="left" vertical="center" wrapText="1"/>
    </xf>
    <xf numFmtId="0" fontId="14" fillId="11" borderId="0" applyAlignment="1" pivotButton="0" quotePrefix="0" xfId="0">
      <alignment horizontal="center" vertical="center" wrapText="1"/>
    </xf>
    <xf numFmtId="0" fontId="15" fillId="15" borderId="0" applyAlignment="1" pivotButton="0" quotePrefix="0" xfId="0">
      <alignment horizontal="center" vertical="center" wrapText="1"/>
    </xf>
    <xf numFmtId="0" fontId="16" fillId="12" borderId="6" applyAlignment="1" pivotButton="0" quotePrefix="0" xfId="0">
      <alignment horizontal="center" vertical="center" wrapText="1"/>
    </xf>
    <xf numFmtId="0" fontId="16" fillId="12" borderId="6" applyAlignment="1" pivotButton="0" quotePrefix="0" xfId="0">
      <alignment horizontal="left" vertical="center" wrapText="1"/>
    </xf>
    <xf numFmtId="0" fontId="17" fillId="13" borderId="6" applyAlignment="1" pivotButton="0" quotePrefix="0" xfId="0">
      <alignment horizontal="center" vertical="center" wrapText="1"/>
    </xf>
    <xf numFmtId="0" fontId="18" fillId="16" borderId="6" applyAlignment="1" pivotButton="0" quotePrefix="0" xfId="0">
      <alignment horizontal="center" vertical="center" wrapText="1"/>
    </xf>
    <xf numFmtId="0" fontId="16" fillId="14" borderId="6" applyAlignment="1" pivotButton="0" quotePrefix="0" xfId="0">
      <alignment horizontal="center" vertical="center" wrapText="1"/>
    </xf>
    <xf numFmtId="0" fontId="16" fillId="14" borderId="6" applyAlignment="1" pivotButton="0" quotePrefix="0" xfId="0">
      <alignment horizontal="left" vertical="center" wrapText="1"/>
    </xf>
    <xf numFmtId="0" fontId="11" fillId="17" borderId="0" applyAlignment="1" pivotButton="0" quotePrefix="0" xfId="0">
      <alignment horizontal="center" vertical="center" wrapText="1"/>
    </xf>
    <xf numFmtId="0" fontId="19" fillId="11" borderId="0" applyAlignment="1" pivotButton="0" quotePrefix="0" xfId="0">
      <alignment horizontal="center" vertical="center" wrapText="1"/>
    </xf>
    <xf numFmtId="0" fontId="16" fillId="13" borderId="6" applyAlignment="1" pivotButton="0" quotePrefix="0" xfId="0">
      <alignment horizontal="left" vertical="center" wrapText="1"/>
    </xf>
    <xf numFmtId="0" fontId="0" fillId="0" borderId="6" pivotButton="0" quotePrefix="0" xfId="0"/>
    <xf numFmtId="0" fontId="11" fillId="18" borderId="6" applyAlignment="1" pivotButton="0" quotePrefix="0" xfId="0">
      <alignment horizontal="center" vertical="center" wrapText="1"/>
    </xf>
  </cellXfs>
  <cellStyles count="1">
    <cellStyle name="Normal" xfId="0" builtinId="0"/>
  </cellStyles>
  <dxfs count="137">
    <dxf>
      <border outline="0">
        <top style="thin">
          <color rgb="FFBFBFBF"/>
        </top>
        <bottom style="thin">
          <color rgb="FF000000"/>
        </bottom>
      </border>
    </dxf>
    <dxf>
      <font>
        <name val="Calibri"/>
        <b val="1"/>
        <strike val="0"/>
        <outline val="0"/>
        <shadow val="0"/>
        <condense val="0"/>
        <color rgb="FFFFFFFF"/>
        <extend val="0"/>
        <sz val="10"/>
        <vertAlign val="baseline"/>
      </font>
      <fill>
        <patternFill patternType="solid">
          <fgColor indexed="64"/>
          <bgColor rgb="FF1F3864"/>
        </patternFill>
      </fill>
      <alignment horizontal="center" vertical="center" wrapText="1"/>
      <border outline="0">
        <left style="thin">
          <color rgb="FFBFBFBF"/>
        </left>
        <right style="thin">
          <color rgb="FFBFBFBF"/>
        </right>
        <top/>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2:G5" headerRowCount="1" totalsRowShown="0" headerRowDxfId="1" tableBorderDxfId="0">
  <autoFilter ref="A2:G5"/>
  <tableColumns count="7">
    <tableColumn id="1" name="Finding No."/>
    <tableColumn id="2" name="Category"/>
    <tableColumn id="3" name="Description"/>
    <tableColumn id="4" name="Risk Level"/>
    <tableColumn id="5" name="Amount (PKR)"/>
    <tableColumn id="6" name="Recommendation"/>
    <tableColumn id="7"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2E75B6"/>
    <outlinePr summaryBelow="1" summaryRight="1"/>
    <pageSetUpPr/>
  </sheetPr>
  <dimension ref="A1:M500"/>
  <sheetViews>
    <sheetView workbookViewId="0">
      <pane ySplit="2" topLeftCell="A3" activePane="bottomLeft" state="frozen"/>
      <selection pane="bottomLeft" activeCell="A1" sqref="A1:K1"/>
    </sheetView>
  </sheetViews>
  <sheetFormatPr baseColWidth="8" defaultRowHeight="15"/>
  <cols>
    <col width="12" customWidth="1" style="23" min="1" max="1"/>
    <col width="14" customWidth="1" style="23" min="2" max="2"/>
    <col width="30" customWidth="1" style="23" min="3" max="3"/>
    <col width="22" customWidth="1" style="23" min="4" max="4"/>
    <col width="16" customWidth="1" style="23" min="5" max="5"/>
    <col width="18" customWidth="1" style="23" min="6" max="6"/>
    <col width="28" customWidth="1" style="23" min="7" max="7"/>
    <col width="22" customWidth="1" style="23" min="8" max="8"/>
    <col width="14" customWidth="1" style="23" min="9" max="9"/>
    <col width="24" customWidth="1" style="23" min="10" max="10"/>
    <col width="14" customWidth="1" style="23" min="11" max="11"/>
    <col width="9.140625" customWidth="1" style="23" min="12" max="13"/>
  </cols>
  <sheetData>
    <row r="1" ht="30" customHeight="1" s="23">
      <c r="A1" s="22" t="inlineStr">
        <is>
          <t xml:space="preserve">Transaction Register FY 2024-25  |  Finance Department  </t>
        </is>
      </c>
    </row>
    <row r="2" ht="21.95" customHeight="1" s="23">
      <c r="A2" s="1" t="inlineStr">
        <is>
          <t>Txn_ID</t>
        </is>
      </c>
      <c r="B2" s="1" t="inlineStr">
        <is>
          <t>Date</t>
        </is>
      </c>
      <c r="C2" s="1" t="inlineStr">
        <is>
          <t>Vendor  Name</t>
        </is>
      </c>
      <c r="D2" s="1" t="inlineStr">
        <is>
          <t>Department</t>
        </is>
      </c>
      <c r="E2" s="1" t="inlineStr">
        <is>
          <t>Amount (PKR)</t>
        </is>
      </c>
      <c r="F2" s="1" t="inlineStr">
        <is>
          <t>Payment Mode</t>
        </is>
      </c>
      <c r="G2" s="1" t="inlineStr">
        <is>
          <t>Approved By</t>
        </is>
      </c>
      <c r="H2" s="1" t="inlineStr">
        <is>
          <t>Category</t>
        </is>
      </c>
      <c r="I2" s="1" t="inlineStr">
        <is>
          <t>Invoice No.</t>
        </is>
      </c>
      <c r="J2" s="1" t="inlineStr">
        <is>
          <t>Remarks</t>
        </is>
      </c>
      <c r="K2" s="1" t="inlineStr">
        <is>
          <t>Status</t>
        </is>
      </c>
      <c r="L2" s="1" t="n"/>
      <c r="M2" s="1" t="inlineStr">
        <is>
          <t>Duplicate Payments</t>
        </is>
      </c>
    </row>
    <row r="3">
      <c r="A3" s="2" t="inlineStr">
        <is>
          <t>TXN0001</t>
        </is>
      </c>
      <c r="B3" s="3" t="n">
        <v>45497</v>
      </c>
      <c r="C3" s="2" t="inlineStr">
        <is>
          <t>Singer Pakistan</t>
        </is>
      </c>
      <c r="D3" s="2" t="inlineStr">
        <is>
          <t>Technology</t>
        </is>
      </c>
      <c r="E3" s="4" t="n">
        <v>18992</v>
      </c>
      <c r="F3" s="2" t="inlineStr">
        <is>
          <t>Bank Transfer</t>
        </is>
      </c>
      <c r="G3" s="2" t="inlineStr">
        <is>
          <t>Usman Tariq (Finance Manager)</t>
        </is>
      </c>
      <c r="H3" s="2" t="inlineStr">
        <is>
          <t>Office Supplies</t>
        </is>
      </c>
      <c r="I3" s="2" t="inlineStr">
        <is>
          <t>INV-98696</t>
        </is>
      </c>
      <c r="J3" s="2" t="inlineStr">
        <is>
          <t>Urgent</t>
        </is>
      </c>
      <c r="K3" s="2" t="inlineStr">
        <is>
          <t>Processed</t>
        </is>
      </c>
      <c r="M3">
        <f>COUNTIFS($C$3:$C$500,C3,$E$3:$E$500,E3)</f>
        <v/>
      </c>
    </row>
    <row r="4">
      <c r="A4" s="5" t="inlineStr">
        <is>
          <t>TXN0002</t>
        </is>
      </c>
      <c r="B4" s="6" t="n">
        <v>45502</v>
      </c>
      <c r="C4" s="5" t="inlineStr">
        <is>
          <t>Metro Cash &amp; Carry</t>
        </is>
      </c>
      <c r="D4" s="5" t="inlineStr">
        <is>
          <t>Operations</t>
        </is>
      </c>
      <c r="E4" s="7" t="n">
        <v>15417</v>
      </c>
      <c r="F4" s="5" t="inlineStr">
        <is>
          <t>RTGS</t>
        </is>
      </c>
      <c r="G4" s="5" t="inlineStr">
        <is>
          <t>Usman Tariq (Finance Manager)</t>
        </is>
      </c>
      <c r="H4" s="5" t="inlineStr">
        <is>
          <t>Office Supplies</t>
        </is>
      </c>
      <c r="I4" s="5" t="inlineStr">
        <is>
          <t>INV-95181</t>
        </is>
      </c>
      <c r="J4" s="5" t="inlineStr">
        <is>
          <t>Urgent</t>
        </is>
      </c>
      <c r="K4" s="5" t="inlineStr">
        <is>
          <t>Processed</t>
        </is>
      </c>
      <c r="M4">
        <f>COUNTIFS($C$3:$C$500,C4,$E$3:$E$500,E4)</f>
        <v/>
      </c>
    </row>
    <row r="5">
      <c r="A5" s="2" t="inlineStr">
        <is>
          <t>TXN0003</t>
        </is>
      </c>
      <c r="B5" s="3" t="n">
        <v>45464</v>
      </c>
      <c r="C5" s="2" t="inlineStr">
        <is>
          <t>Ufone Corporate</t>
        </is>
      </c>
      <c r="D5" s="2" t="inlineStr">
        <is>
          <t>HR &amp; Admin</t>
        </is>
      </c>
      <c r="E5" s="4" t="n">
        <v>52416</v>
      </c>
      <c r="F5" s="2" t="inlineStr">
        <is>
          <t>Online Transfer</t>
        </is>
      </c>
      <c r="G5" s="2" t="inlineStr">
        <is>
          <t>Zara Malik (CFO Office)</t>
        </is>
      </c>
      <c r="H5" s="2" t="inlineStr">
        <is>
          <t>Telecom</t>
        </is>
      </c>
      <c r="I5" s="2" t="inlineStr">
        <is>
          <t>INV-46421</t>
        </is>
      </c>
      <c r="J5" s="2" t="n"/>
      <c r="K5" s="2" t="inlineStr">
        <is>
          <t>Processed</t>
        </is>
      </c>
      <c r="M5">
        <f>COUNTIFS($C$3:$C$500,C5,$E$3:$E$500,E5)</f>
        <v/>
      </c>
    </row>
    <row r="6">
      <c r="A6" s="5" t="inlineStr">
        <is>
          <t>TXN0004</t>
        </is>
      </c>
      <c r="B6" s="6" t="n">
        <v>45432</v>
      </c>
      <c r="C6" s="5" t="inlineStr">
        <is>
          <t>KPMG Taseer Hadi</t>
        </is>
      </c>
      <c r="D6" s="5" t="inlineStr">
        <is>
          <t>Technology</t>
        </is>
      </c>
      <c r="E6" s="7" t="n">
        <v>304322</v>
      </c>
      <c r="F6" s="5" t="inlineStr">
        <is>
          <t>Online Transfer</t>
        </is>
      </c>
      <c r="G6" s="5" t="inlineStr">
        <is>
          <t>Omer Saleem (CFO)</t>
        </is>
      </c>
      <c r="H6" s="5" t="inlineStr">
        <is>
          <t>Audit &amp; Legal</t>
        </is>
      </c>
      <c r="I6" s="5" t="inlineStr">
        <is>
          <t>INV-89131</t>
        </is>
      </c>
      <c r="J6" s="5" t="n"/>
      <c r="K6" s="5" t="inlineStr">
        <is>
          <t>Processed</t>
        </is>
      </c>
      <c r="M6">
        <f>COUNTIFS($C$3:$C$500,C6,$E$3:$E$500,E6)</f>
        <v/>
      </c>
    </row>
    <row r="7">
      <c r="A7" s="2" t="inlineStr">
        <is>
          <t>TXN0005</t>
        </is>
      </c>
      <c r="B7" s="3" t="n">
        <v>45665</v>
      </c>
      <c r="C7" s="2" t="inlineStr">
        <is>
          <t>FedEx Pakistan</t>
        </is>
      </c>
      <c r="D7" s="2" t="inlineStr">
        <is>
          <t>Compliance</t>
        </is>
      </c>
      <c r="E7" s="4" t="n">
        <v>23228</v>
      </c>
      <c r="F7" s="2" t="inlineStr">
        <is>
          <t>Online Transfer</t>
        </is>
      </c>
      <c r="G7" s="2" t="inlineStr">
        <is>
          <t>Bilal Khan (Head Ops)</t>
        </is>
      </c>
      <c r="H7" s="2" t="inlineStr">
        <is>
          <t>Courier &amp; Logistics</t>
        </is>
      </c>
      <c r="I7" s="2" t="inlineStr">
        <is>
          <t>INV-85674</t>
        </is>
      </c>
      <c r="J7" s="2" t="n"/>
      <c r="K7" s="2" t="inlineStr">
        <is>
          <t>Processed</t>
        </is>
      </c>
      <c r="M7">
        <f>COUNTIFS($C$3:$C$500,C7,$E$3:$E$500,E7)</f>
        <v/>
      </c>
    </row>
    <row r="8">
      <c r="A8" s="5" t="inlineStr">
        <is>
          <t>TXN0006</t>
        </is>
      </c>
      <c r="B8" s="6" t="n">
        <v>45502</v>
      </c>
      <c r="C8" s="5" t="inlineStr">
        <is>
          <t>TechAccess Pakistan</t>
        </is>
      </c>
      <c r="D8" s="5" t="inlineStr">
        <is>
          <t>Customer Experience</t>
        </is>
      </c>
      <c r="E8" s="7" t="n">
        <v>324556</v>
      </c>
      <c r="F8" s="5" t="inlineStr">
        <is>
          <t>Online Transfer</t>
        </is>
      </c>
      <c r="G8" s="5" t="inlineStr">
        <is>
          <t>Omer Saleem (CFO)</t>
        </is>
      </c>
      <c r="H8" s="5" t="inlineStr">
        <is>
          <t>Hardware</t>
        </is>
      </c>
      <c r="I8" s="5" t="inlineStr">
        <is>
          <t>INV-46434</t>
        </is>
      </c>
      <c r="J8" s="5" t="inlineStr">
        <is>
          <t>One-time</t>
        </is>
      </c>
      <c r="K8" s="5" t="inlineStr">
        <is>
          <t>Processed</t>
        </is>
      </c>
      <c r="M8">
        <f>COUNTIFS($C$3:$C$500,C8,$E$3:$E$500,E8)</f>
        <v/>
      </c>
    </row>
    <row r="9">
      <c r="A9" s="2" t="inlineStr">
        <is>
          <t>TXN0007</t>
        </is>
      </c>
      <c r="B9" s="3" t="n">
        <v>45726</v>
      </c>
      <c r="C9" s="2" t="inlineStr">
        <is>
          <t>Mobilink (Jazz)</t>
        </is>
      </c>
      <c r="D9" s="2" t="inlineStr">
        <is>
          <t>Operations</t>
        </is>
      </c>
      <c r="E9" s="4" t="n">
        <v>65845</v>
      </c>
      <c r="F9" s="2" t="inlineStr">
        <is>
          <t>Bank Transfer</t>
        </is>
      </c>
      <c r="G9" s="2" t="inlineStr">
        <is>
          <t>Zara Malik (CFO Office)</t>
        </is>
      </c>
      <c r="H9" s="2" t="inlineStr">
        <is>
          <t>Telecom</t>
        </is>
      </c>
      <c r="I9" s="2" t="inlineStr">
        <is>
          <t>INV-89840</t>
        </is>
      </c>
      <c r="J9" s="2" t="n"/>
      <c r="K9" s="2" t="inlineStr">
        <is>
          <t>Pending</t>
        </is>
      </c>
      <c r="M9">
        <f>COUNTIFS($C$3:$C$500,C9,$E$3:$E$500,E9)</f>
        <v/>
      </c>
    </row>
    <row r="10">
      <c r="A10" s="5" t="inlineStr">
        <is>
          <t>TXN0008</t>
        </is>
      </c>
      <c r="B10" s="6" t="n">
        <v>45735</v>
      </c>
      <c r="C10" s="5" t="inlineStr">
        <is>
          <t>Allied Bank Limited</t>
        </is>
      </c>
      <c r="D10" s="5" t="inlineStr">
        <is>
          <t>Technology</t>
        </is>
      </c>
      <c r="E10" s="7" t="n">
        <v>92652</v>
      </c>
      <c r="F10" s="5" t="inlineStr">
        <is>
          <t>Online Transfer</t>
        </is>
      </c>
      <c r="G10" s="5" t="inlineStr">
        <is>
          <t>Sara Ahmed (VP Finance)</t>
        </is>
      </c>
      <c r="H10" s="5" t="inlineStr">
        <is>
          <t>Banking Services</t>
        </is>
      </c>
      <c r="I10" s="5" t="inlineStr">
        <is>
          <t>INV-17331</t>
        </is>
      </c>
      <c r="J10" s="5" t="n"/>
      <c r="K10" s="5" t="inlineStr">
        <is>
          <t>Processed</t>
        </is>
      </c>
      <c r="M10">
        <f>COUNTIFS($C$3:$C$500,C10,$E$3:$E$500,E10)</f>
        <v/>
      </c>
    </row>
    <row r="11">
      <c r="A11" s="2" t="inlineStr">
        <is>
          <t>TXN0009</t>
        </is>
      </c>
      <c r="B11" s="3" t="n">
        <v>45491</v>
      </c>
      <c r="C11" s="2" t="inlineStr">
        <is>
          <t>Deloitte Pakistan</t>
        </is>
      </c>
      <c r="D11" s="2" t="inlineStr">
        <is>
          <t>Operations</t>
        </is>
      </c>
      <c r="E11" s="4" t="n">
        <v>482677</v>
      </c>
      <c r="F11" s="2" t="inlineStr">
        <is>
          <t>RTGS</t>
        </is>
      </c>
      <c r="G11" s="2" t="inlineStr">
        <is>
          <t>Omer Saleem (CFO)</t>
        </is>
      </c>
      <c r="H11" s="2" t="inlineStr">
        <is>
          <t>Audit &amp; Legal</t>
        </is>
      </c>
      <c r="I11" s="2" t="inlineStr">
        <is>
          <t>INV-95909</t>
        </is>
      </c>
      <c r="J11" s="2" t="inlineStr">
        <is>
          <t>One-time</t>
        </is>
      </c>
      <c r="K11" s="2" t="inlineStr">
        <is>
          <t>Processed</t>
        </is>
      </c>
      <c r="M11">
        <f>COUNTIFS($C$3:$C$500,C11,$E$3:$E$500,E11)</f>
        <v/>
      </c>
    </row>
    <row r="12">
      <c r="A12" s="5" t="inlineStr">
        <is>
          <t>TXN0010</t>
        </is>
      </c>
      <c r="B12" s="6" t="n">
        <v>45454</v>
      </c>
      <c r="C12" s="5" t="inlineStr">
        <is>
          <t>Punjab Beverages</t>
        </is>
      </c>
      <c r="D12" s="5" t="inlineStr">
        <is>
          <t>HR &amp; Admin</t>
        </is>
      </c>
      <c r="E12" s="7" t="n">
        <v>26549</v>
      </c>
      <c r="F12" s="5" t="inlineStr">
        <is>
          <t>RTGS</t>
        </is>
      </c>
      <c r="G12" s="5" t="inlineStr">
        <is>
          <t>Usman Tariq (Finance Manager)</t>
        </is>
      </c>
      <c r="H12" s="5" t="inlineStr">
        <is>
          <t>Office Supplies</t>
        </is>
      </c>
      <c r="I12" s="5" t="inlineStr">
        <is>
          <t>INV-86622</t>
        </is>
      </c>
      <c r="J12" s="5" t="inlineStr">
        <is>
          <t>Pre-approved</t>
        </is>
      </c>
      <c r="K12" s="5" t="inlineStr">
        <is>
          <t>Under Review</t>
        </is>
      </c>
      <c r="M12">
        <f>COUNTIFS($C$3:$C$500,C12,$E$3:$E$500,E12)</f>
        <v/>
      </c>
    </row>
    <row r="13">
      <c r="A13" s="2" t="inlineStr">
        <is>
          <t>TXN0011</t>
        </is>
      </c>
      <c r="B13" s="3" t="n">
        <v>45643</v>
      </c>
      <c r="C13" s="2" t="inlineStr">
        <is>
          <t>Haidermota &amp; Co</t>
        </is>
      </c>
      <c r="D13" s="2" t="inlineStr">
        <is>
          <t>Operations</t>
        </is>
      </c>
      <c r="E13" s="4" t="n">
        <v>268100</v>
      </c>
      <c r="F13" s="2" t="inlineStr">
        <is>
          <t>Bank Transfer</t>
        </is>
      </c>
      <c r="G13" s="2" t="inlineStr">
        <is>
          <t>Omer Saleem (CFO)</t>
        </is>
      </c>
      <c r="H13" s="2" t="inlineStr">
        <is>
          <t>Legal Services</t>
        </is>
      </c>
      <c r="I13" s="2" t="inlineStr">
        <is>
          <t>INV-16175</t>
        </is>
      </c>
      <c r="J13" s="2" t="n"/>
      <c r="K13" s="2" t="inlineStr">
        <is>
          <t>Processed</t>
        </is>
      </c>
      <c r="M13">
        <f>COUNTIFS($C$3:$C$500,C13,$E$3:$E$500,E13)</f>
        <v/>
      </c>
    </row>
    <row r="14">
      <c r="A14" s="5" t="inlineStr">
        <is>
          <t>TXN0012</t>
        </is>
      </c>
      <c r="B14" s="6" t="n">
        <v>45688</v>
      </c>
      <c r="C14" s="5" t="inlineStr">
        <is>
          <t>Singer Pakistan</t>
        </is>
      </c>
      <c r="D14" s="5" t="inlineStr">
        <is>
          <t>Technology</t>
        </is>
      </c>
      <c r="E14" s="7" t="n">
        <v>71672</v>
      </c>
      <c r="F14" s="5" t="inlineStr">
        <is>
          <t>Online Transfer</t>
        </is>
      </c>
      <c r="G14" s="5" t="inlineStr">
        <is>
          <t>Sara Ahmed (VP Finance)</t>
        </is>
      </c>
      <c r="H14" s="5" t="inlineStr">
        <is>
          <t>Office Supplies</t>
        </is>
      </c>
      <c r="I14" s="5" t="inlineStr">
        <is>
          <t>INV-60019</t>
        </is>
      </c>
      <c r="J14" s="5" t="inlineStr">
        <is>
          <t>One-time</t>
        </is>
      </c>
      <c r="K14" s="5" t="inlineStr">
        <is>
          <t>Pending</t>
        </is>
      </c>
      <c r="M14">
        <f>COUNTIFS($C$3:$C$500,C14,$E$3:$E$500,E14)</f>
        <v/>
      </c>
    </row>
    <row r="15">
      <c r="A15" s="2" t="inlineStr">
        <is>
          <t>TXN0013</t>
        </is>
      </c>
      <c r="B15" s="3" t="n">
        <v>45657</v>
      </c>
      <c r="C15" s="2" t="inlineStr">
        <is>
          <t>MCB Bank Ltd</t>
        </is>
      </c>
      <c r="D15" s="2" t="inlineStr">
        <is>
          <t>Compliance</t>
        </is>
      </c>
      <c r="E15" s="4" t="n">
        <v>29227</v>
      </c>
      <c r="F15" s="2" t="inlineStr">
        <is>
          <t>Online Transfer</t>
        </is>
      </c>
      <c r="G15" s="2" t="inlineStr">
        <is>
          <t>Bilal Khan (Head Ops)</t>
        </is>
      </c>
      <c r="H15" s="2" t="inlineStr">
        <is>
          <t>Banking Services</t>
        </is>
      </c>
      <c r="I15" s="2" t="inlineStr">
        <is>
          <t>INV-24621</t>
        </is>
      </c>
      <c r="J15" s="2" t="n"/>
      <c r="K15" s="2" t="inlineStr">
        <is>
          <t>Processed</t>
        </is>
      </c>
      <c r="M15">
        <f>COUNTIFS($C$3:$C$500,C15,$E$3:$E$500,E15)</f>
        <v/>
      </c>
    </row>
    <row r="16">
      <c r="A16" s="5" t="inlineStr">
        <is>
          <t>TXN0014</t>
        </is>
      </c>
      <c r="B16" s="6" t="n">
        <v>45639</v>
      </c>
      <c r="C16" s="5" t="inlineStr">
        <is>
          <t>Mobilink (Jazz)</t>
        </is>
      </c>
      <c r="D16" s="5" t="inlineStr">
        <is>
          <t>HR &amp; Admin</t>
        </is>
      </c>
      <c r="E16" s="7" t="n">
        <v>20587</v>
      </c>
      <c r="F16" s="5" t="inlineStr">
        <is>
          <t>Bank Transfer</t>
        </is>
      </c>
      <c r="G16" s="5" t="inlineStr">
        <is>
          <t>Usman Tariq (Finance Manager)</t>
        </is>
      </c>
      <c r="H16" s="5" t="inlineStr">
        <is>
          <t>Telecom</t>
        </is>
      </c>
      <c r="I16" s="5" t="inlineStr">
        <is>
          <t>INV-91959</t>
        </is>
      </c>
      <c r="J16" s="5" t="n"/>
      <c r="K16" s="5" t="inlineStr">
        <is>
          <t>Pending</t>
        </is>
      </c>
      <c r="M16">
        <f>COUNTIFS($C$3:$C$500,C16,$E$3:$E$500,E16)</f>
        <v/>
      </c>
    </row>
    <row r="17">
      <c r="A17" s="2" t="inlineStr">
        <is>
          <t>TXN0015</t>
        </is>
      </c>
      <c r="B17" s="3" t="n">
        <v>45659</v>
      </c>
      <c r="C17" s="2" t="inlineStr">
        <is>
          <t>Hafeez Centre Dealers</t>
        </is>
      </c>
      <c r="D17" s="2" t="inlineStr">
        <is>
          <t>Finance &amp; Accounts</t>
        </is>
      </c>
      <c r="E17" s="4" t="n">
        <v>247236</v>
      </c>
      <c r="F17" s="2" t="inlineStr">
        <is>
          <t>Online Transfer</t>
        </is>
      </c>
      <c r="G17" s="2" t="inlineStr">
        <is>
          <t>Omer Saleem (CFO)</t>
        </is>
      </c>
      <c r="H17" s="2" t="inlineStr">
        <is>
          <t>Hardware</t>
        </is>
      </c>
      <c r="I17" s="2" t="inlineStr">
        <is>
          <t>INV-74042</t>
        </is>
      </c>
      <c r="J17" s="2" t="n"/>
      <c r="K17" s="2" t="inlineStr">
        <is>
          <t>Processed</t>
        </is>
      </c>
      <c r="M17">
        <f>COUNTIFS($C$3:$C$500,C17,$E$3:$E$500,E17)</f>
        <v/>
      </c>
    </row>
    <row r="18">
      <c r="A18" s="5" t="inlineStr">
        <is>
          <t>TXN0016</t>
        </is>
      </c>
      <c r="B18" s="6" t="n">
        <v>45506</v>
      </c>
      <c r="C18" s="5" t="inlineStr">
        <is>
          <t>PwC Pakistan</t>
        </is>
      </c>
      <c r="D18" s="5" t="inlineStr">
        <is>
          <t>Finance &amp; Accounts</t>
        </is>
      </c>
      <c r="E18" s="7" t="n">
        <v>452879</v>
      </c>
      <c r="F18" s="5" t="inlineStr">
        <is>
          <t>Bank Transfer</t>
        </is>
      </c>
      <c r="G18" s="5" t="inlineStr">
        <is>
          <t>Omer Saleem (CFO)</t>
        </is>
      </c>
      <c r="H18" s="5" t="inlineStr">
        <is>
          <t>Audit &amp; Legal</t>
        </is>
      </c>
      <c r="I18" s="5" t="inlineStr">
        <is>
          <t>INV-73699</t>
        </is>
      </c>
      <c r="J18" s="5" t="n"/>
      <c r="K18" s="5" t="inlineStr">
        <is>
          <t>Pending</t>
        </is>
      </c>
      <c r="M18">
        <f>COUNTIFS($C$3:$C$500,C18,$E$3:$E$500,E18)</f>
        <v/>
      </c>
    </row>
    <row r="19">
      <c r="A19" s="2" t="inlineStr">
        <is>
          <t>TXN0017</t>
        </is>
      </c>
      <c r="B19" s="3" t="n">
        <v>45467</v>
      </c>
      <c r="C19" s="2" t="inlineStr">
        <is>
          <t>Teradata Pakistan</t>
        </is>
      </c>
      <c r="D19" s="2" t="inlineStr">
        <is>
          <t>Technology</t>
        </is>
      </c>
      <c r="E19" s="4" t="n">
        <v>628223</v>
      </c>
      <c r="F19" s="2" t="inlineStr">
        <is>
          <t>Online Transfer</t>
        </is>
      </c>
      <c r="G19" s="2" t="inlineStr">
        <is>
          <t>Omer Saleem (CFO)</t>
        </is>
      </c>
      <c r="H19" s="2" t="inlineStr">
        <is>
          <t>IT Services</t>
        </is>
      </c>
      <c r="I19" s="2" t="inlineStr">
        <is>
          <t>INV-37760</t>
        </is>
      </c>
      <c r="J19" s="2" t="inlineStr">
        <is>
          <t>Urgent</t>
        </is>
      </c>
      <c r="K19" s="2" t="inlineStr">
        <is>
          <t>Processed</t>
        </is>
      </c>
      <c r="M19">
        <f>COUNTIFS($C$3:$C$500,C19,$E$3:$E$500,E19)</f>
        <v/>
      </c>
    </row>
    <row r="20">
      <c r="A20" s="5" t="inlineStr">
        <is>
          <t>TXN0018</t>
        </is>
      </c>
      <c r="B20" s="6" t="n">
        <v>45607</v>
      </c>
      <c r="C20" s="5" t="inlineStr">
        <is>
          <t>UBL Corporate</t>
        </is>
      </c>
      <c r="D20" s="5" t="inlineStr">
        <is>
          <t>Operations</t>
        </is>
      </c>
      <c r="E20" s="7" t="n">
        <v>120004</v>
      </c>
      <c r="F20" s="5" t="inlineStr">
        <is>
          <t>Bank Transfer</t>
        </is>
      </c>
      <c r="G20" s="5" t="inlineStr">
        <is>
          <t>Zara Malik (CFO Office)</t>
        </is>
      </c>
      <c r="H20" s="5" t="inlineStr">
        <is>
          <t>Banking Services</t>
        </is>
      </c>
      <c r="I20" s="5" t="inlineStr">
        <is>
          <t>INV-42493</t>
        </is>
      </c>
      <c r="J20" s="5" t="n"/>
      <c r="K20" s="5" t="inlineStr">
        <is>
          <t>Processed</t>
        </is>
      </c>
      <c r="M20">
        <f>COUNTIFS($C$3:$C$500,C20,$E$3:$E$500,E20)</f>
        <v/>
      </c>
    </row>
    <row r="21">
      <c r="A21" s="2" t="inlineStr">
        <is>
          <t>TXN0019</t>
        </is>
      </c>
      <c r="B21" s="3" t="n">
        <v>45684</v>
      </c>
      <c r="C21" s="2" t="inlineStr">
        <is>
          <t>KPMG Taseer Hadi</t>
        </is>
      </c>
      <c r="D21" s="2" t="inlineStr">
        <is>
          <t>Technology</t>
        </is>
      </c>
      <c r="E21" s="4" t="n">
        <v>821503</v>
      </c>
      <c r="F21" s="2" t="inlineStr">
        <is>
          <t>Bank Transfer</t>
        </is>
      </c>
      <c r="G21" s="2" t="inlineStr">
        <is>
          <t>Omer Saleem (CFO)</t>
        </is>
      </c>
      <c r="H21" s="2" t="inlineStr">
        <is>
          <t>Audit &amp; Legal</t>
        </is>
      </c>
      <c r="I21" s="2" t="inlineStr">
        <is>
          <t>INV-19305</t>
        </is>
      </c>
      <c r="J21" s="2" t="n"/>
      <c r="K21" s="2" t="inlineStr">
        <is>
          <t>Processed</t>
        </is>
      </c>
      <c r="M21">
        <f>COUNTIFS($C$3:$C$500,C21,$E$3:$E$500,E21)</f>
        <v/>
      </c>
    </row>
    <row r="22">
      <c r="A22" s="5" t="inlineStr">
        <is>
          <t>TXN0020</t>
        </is>
      </c>
      <c r="B22" s="6" t="n">
        <v>45646</v>
      </c>
      <c r="C22" s="5" t="inlineStr">
        <is>
          <t>IBM Pakistan</t>
        </is>
      </c>
      <c r="D22" s="5" t="inlineStr">
        <is>
          <t>Technology</t>
        </is>
      </c>
      <c r="E22" s="7" t="n">
        <v>468486</v>
      </c>
      <c r="F22" s="5" t="inlineStr">
        <is>
          <t>RTGS</t>
        </is>
      </c>
      <c r="G22" s="5" t="inlineStr">
        <is>
          <t>Omer Saleem (CFO)</t>
        </is>
      </c>
      <c r="H22" s="5" t="inlineStr">
        <is>
          <t>IT Services</t>
        </is>
      </c>
      <c r="I22" s="5" t="inlineStr">
        <is>
          <t>INV-97684</t>
        </is>
      </c>
      <c r="J22" s="5" t="inlineStr">
        <is>
          <t>One-time</t>
        </is>
      </c>
      <c r="K22" s="5" t="inlineStr">
        <is>
          <t>Processed</t>
        </is>
      </c>
      <c r="M22">
        <f>COUNTIFS($C$3:$C$500,C22,$E$3:$E$500,E22)</f>
        <v/>
      </c>
    </row>
    <row r="23">
      <c r="A23" s="2" t="inlineStr">
        <is>
          <t>TXN0021</t>
        </is>
      </c>
      <c r="B23" s="3" t="n">
        <v>45625</v>
      </c>
      <c r="C23" s="2" t="inlineStr">
        <is>
          <t>Serena Hotel Lahore</t>
        </is>
      </c>
      <c r="D23" s="2" t="inlineStr">
        <is>
          <t>Technology</t>
        </is>
      </c>
      <c r="E23" s="4" t="n">
        <v>163735</v>
      </c>
      <c r="F23" s="2" t="inlineStr">
        <is>
          <t>RTGS</t>
        </is>
      </c>
      <c r="G23" s="2" t="inlineStr">
        <is>
          <t>Zara Malik (CFO Office)</t>
        </is>
      </c>
      <c r="H23" s="2" t="inlineStr">
        <is>
          <t>Travel &amp; Accommodation</t>
        </is>
      </c>
      <c r="I23" s="2" t="inlineStr">
        <is>
          <t>INV-22363</t>
        </is>
      </c>
      <c r="J23" s="2" t="n"/>
      <c r="K23" s="2" t="inlineStr">
        <is>
          <t>Processed</t>
        </is>
      </c>
      <c r="M23">
        <f>COUNTIFS($C$3:$C$500,C23,$E$3:$E$500,E23)</f>
        <v/>
      </c>
    </row>
    <row r="24">
      <c r="A24" s="5" t="inlineStr">
        <is>
          <t>TXN0022</t>
        </is>
      </c>
      <c r="B24" s="6" t="n">
        <v>45727</v>
      </c>
      <c r="C24" s="5" t="inlineStr">
        <is>
          <t>EY Pakistan</t>
        </is>
      </c>
      <c r="D24" s="5" t="inlineStr">
        <is>
          <t>Operations</t>
        </is>
      </c>
      <c r="E24" s="7" t="n">
        <v>639569</v>
      </c>
      <c r="F24" s="5" t="inlineStr">
        <is>
          <t>Bank Transfer</t>
        </is>
      </c>
      <c r="G24" s="5" t="inlineStr">
        <is>
          <t>Omer Saleem (CFO)</t>
        </is>
      </c>
      <c r="H24" s="5" t="inlineStr">
        <is>
          <t>Audit &amp; Legal</t>
        </is>
      </c>
      <c r="I24" s="5" t="inlineStr">
        <is>
          <t>INV-62772</t>
        </is>
      </c>
      <c r="J24" s="5" t="inlineStr">
        <is>
          <t>Recurring</t>
        </is>
      </c>
      <c r="K24" s="5" t="inlineStr">
        <is>
          <t>Processed</t>
        </is>
      </c>
      <c r="M24">
        <f>COUNTIFS($C$3:$C$500,C24,$E$3:$E$500,E24)</f>
        <v/>
      </c>
    </row>
    <row r="25">
      <c r="A25" s="2" t="inlineStr">
        <is>
          <t>TXN0023</t>
        </is>
      </c>
      <c r="B25" s="3" t="n">
        <v>45454</v>
      </c>
      <c r="C25" s="2" t="inlineStr">
        <is>
          <t>Allied Bank Limited</t>
        </is>
      </c>
      <c r="D25" s="2" t="inlineStr">
        <is>
          <t>Finance &amp; Accounts</t>
        </is>
      </c>
      <c r="E25" s="4" t="n">
        <v>59564</v>
      </c>
      <c r="F25" s="2" t="inlineStr">
        <is>
          <t>Bank Transfer</t>
        </is>
      </c>
      <c r="G25" s="2" t="inlineStr">
        <is>
          <t>Zara Malik (CFO Office)</t>
        </is>
      </c>
      <c r="H25" s="2" t="inlineStr">
        <is>
          <t>Banking Services</t>
        </is>
      </c>
      <c r="I25" s="2" t="inlineStr">
        <is>
          <t>INV-46509</t>
        </is>
      </c>
      <c r="J25" s="2" t="inlineStr">
        <is>
          <t>One-time</t>
        </is>
      </c>
      <c r="K25" s="2" t="inlineStr">
        <is>
          <t>Processed</t>
        </is>
      </c>
      <c r="M25">
        <f>COUNTIFS($C$3:$C$500,C25,$E$3:$E$500,E25)</f>
        <v/>
      </c>
    </row>
    <row r="26">
      <c r="A26" s="5" t="inlineStr">
        <is>
          <t>TXN0024</t>
        </is>
      </c>
      <c r="B26" s="6" t="n">
        <v>45408</v>
      </c>
      <c r="C26" s="5" t="inlineStr">
        <is>
          <t>IBM Pakistan</t>
        </is>
      </c>
      <c r="D26" s="5" t="inlineStr">
        <is>
          <t>HR &amp; Admin</t>
        </is>
      </c>
      <c r="E26" s="7" t="n">
        <v>699508</v>
      </c>
      <c r="F26" s="5" t="inlineStr">
        <is>
          <t>Bank Transfer</t>
        </is>
      </c>
      <c r="G26" s="5" t="inlineStr">
        <is>
          <t>Omer Saleem (CFO)</t>
        </is>
      </c>
      <c r="H26" s="5" t="inlineStr">
        <is>
          <t>IT Services</t>
        </is>
      </c>
      <c r="I26" s="5" t="inlineStr">
        <is>
          <t>INV-40982</t>
        </is>
      </c>
      <c r="J26" s="5" t="n"/>
      <c r="K26" s="5" t="inlineStr">
        <is>
          <t>Processed</t>
        </is>
      </c>
      <c r="M26">
        <f>COUNTIFS($C$3:$C$500,C26,$E$3:$E$500,E26)</f>
        <v/>
      </c>
    </row>
    <row r="27">
      <c r="A27" s="2" t="inlineStr">
        <is>
          <t>TXN0025</t>
        </is>
      </c>
      <c r="B27" s="3" t="n">
        <v>45413</v>
      </c>
      <c r="C27" s="2" t="inlineStr">
        <is>
          <t>Mashaal Movers</t>
        </is>
      </c>
      <c r="D27" s="2" t="inlineStr">
        <is>
          <t>HR &amp; Admin</t>
        </is>
      </c>
      <c r="E27" s="4" t="n">
        <v>29425</v>
      </c>
      <c r="F27" s="2" t="inlineStr">
        <is>
          <t>Online Transfer</t>
        </is>
      </c>
      <c r="G27" s="2" t="inlineStr">
        <is>
          <t>Usman Tariq (Finance Manager)</t>
        </is>
      </c>
      <c r="H27" s="2" t="inlineStr">
        <is>
          <t>Courier &amp; Logistics</t>
        </is>
      </c>
      <c r="I27" s="2" t="inlineStr">
        <is>
          <t>INV-10282</t>
        </is>
      </c>
      <c r="J27" s="2" t="inlineStr">
        <is>
          <t>Pre-approved</t>
        </is>
      </c>
      <c r="K27" s="2" t="inlineStr">
        <is>
          <t>Processed</t>
        </is>
      </c>
      <c r="M27">
        <f>COUNTIFS($C$3:$C$500,C27,$E$3:$E$500,E27)</f>
        <v/>
      </c>
    </row>
    <row r="28">
      <c r="A28" s="5" t="inlineStr">
        <is>
          <t>TXN0026</t>
        </is>
      </c>
      <c r="B28" s="6" t="n">
        <v>45462</v>
      </c>
      <c r="C28" s="5" t="inlineStr">
        <is>
          <t>FedEx Pakistan</t>
        </is>
      </c>
      <c r="D28" s="5" t="inlineStr">
        <is>
          <t>Finance &amp; Accounts</t>
        </is>
      </c>
      <c r="E28" s="7" t="n">
        <v>44542</v>
      </c>
      <c r="F28" s="5" t="inlineStr">
        <is>
          <t>RTGS</t>
        </is>
      </c>
      <c r="G28" s="5" t="inlineStr">
        <is>
          <t>Usman Tariq (Finance Manager)</t>
        </is>
      </c>
      <c r="H28" s="5" t="inlineStr">
        <is>
          <t>Courier &amp; Logistics</t>
        </is>
      </c>
      <c r="I28" s="5" t="inlineStr">
        <is>
          <t>INV-38534</t>
        </is>
      </c>
      <c r="J28" s="5" t="n"/>
      <c r="K28" s="5" t="inlineStr">
        <is>
          <t>Under Review</t>
        </is>
      </c>
      <c r="M28">
        <f>COUNTIFS($C$3:$C$500,C28,$E$3:$E$500,E28)</f>
        <v/>
      </c>
    </row>
    <row r="29">
      <c r="A29" s="2" t="inlineStr">
        <is>
          <t>TXN0027</t>
        </is>
      </c>
      <c r="B29" s="3" t="n">
        <v>45408</v>
      </c>
      <c r="C29" s="2" t="inlineStr">
        <is>
          <t>Serena Hotel Lahore</t>
        </is>
      </c>
      <c r="D29" s="2" t="inlineStr">
        <is>
          <t>Technology</t>
        </is>
      </c>
      <c r="E29" s="4" t="n">
        <v>118992</v>
      </c>
      <c r="F29" s="2" t="inlineStr">
        <is>
          <t>Bank Transfer</t>
        </is>
      </c>
      <c r="G29" s="2" t="inlineStr">
        <is>
          <t>Zara Malik (CFO Office)</t>
        </is>
      </c>
      <c r="H29" s="2" t="inlineStr">
        <is>
          <t>Travel &amp; Accommodation</t>
        </is>
      </c>
      <c r="I29" s="2" t="inlineStr">
        <is>
          <t>INV-17455</t>
        </is>
      </c>
      <c r="J29" s="2" t="inlineStr">
        <is>
          <t>Urgent</t>
        </is>
      </c>
      <c r="K29" s="2" t="inlineStr">
        <is>
          <t>Processed</t>
        </is>
      </c>
      <c r="M29">
        <f>COUNTIFS($C$3:$C$500,C29,$E$3:$E$500,E29)</f>
        <v/>
      </c>
    </row>
    <row r="30">
      <c r="A30" s="5" t="inlineStr">
        <is>
          <t>TXN0028</t>
        </is>
      </c>
      <c r="B30" s="6" t="n">
        <v>45589</v>
      </c>
      <c r="C30" s="5" t="inlineStr">
        <is>
          <t>Telenor Pakistan</t>
        </is>
      </c>
      <c r="D30" s="5" t="inlineStr">
        <is>
          <t>Technology</t>
        </is>
      </c>
      <c r="E30" s="7" t="n">
        <v>28607</v>
      </c>
      <c r="F30" s="5" t="inlineStr">
        <is>
          <t>RTGS</t>
        </is>
      </c>
      <c r="G30" s="5" t="inlineStr">
        <is>
          <t>Usman Tariq (Finance Manager)</t>
        </is>
      </c>
      <c r="H30" s="5" t="inlineStr">
        <is>
          <t>Telecom</t>
        </is>
      </c>
      <c r="I30" s="5" t="inlineStr">
        <is>
          <t>INV-85880</t>
        </is>
      </c>
      <c r="J30" s="5" t="n"/>
      <c r="K30" s="5" t="inlineStr">
        <is>
          <t>Under Review</t>
        </is>
      </c>
      <c r="M30">
        <f>COUNTIFS($C$3:$C$500,C30,$E$3:$E$500,E30)</f>
        <v/>
      </c>
    </row>
    <row r="31">
      <c r="A31" s="2" t="inlineStr">
        <is>
          <t>TXN0029</t>
        </is>
      </c>
      <c r="B31" s="3" t="n">
        <v>45544</v>
      </c>
      <c r="C31" s="2" t="inlineStr">
        <is>
          <t>Oracle Pakistan Pvt Ltd</t>
        </is>
      </c>
      <c r="D31" s="2" t="inlineStr">
        <is>
          <t>Operations</t>
        </is>
      </c>
      <c r="E31" s="4" t="n">
        <v>848717</v>
      </c>
      <c r="F31" s="2" t="inlineStr">
        <is>
          <t>RTGS</t>
        </is>
      </c>
      <c r="G31" s="2" t="inlineStr">
        <is>
          <t>Omer Saleem (CFO)</t>
        </is>
      </c>
      <c r="H31" s="2" t="inlineStr">
        <is>
          <t>Software License</t>
        </is>
      </c>
      <c r="I31" s="2" t="inlineStr">
        <is>
          <t>INV-97782</t>
        </is>
      </c>
      <c r="J31" s="2" t="inlineStr">
        <is>
          <t>Recurring</t>
        </is>
      </c>
      <c r="K31" s="2" t="inlineStr">
        <is>
          <t>Processed</t>
        </is>
      </c>
      <c r="M31">
        <f>COUNTIFS($C$3:$C$500,C31,$E$3:$E$500,E31)</f>
        <v/>
      </c>
    </row>
    <row r="32">
      <c r="A32" s="5" t="inlineStr">
        <is>
          <t>TXN0030</t>
        </is>
      </c>
      <c r="B32" s="6" t="n">
        <v>45617</v>
      </c>
      <c r="C32" s="5" t="inlineStr">
        <is>
          <t>MCB Bank Ltd</t>
        </is>
      </c>
      <c r="D32" s="5" t="inlineStr">
        <is>
          <t>Operations</t>
        </is>
      </c>
      <c r="E32" s="7" t="n">
        <v>47916</v>
      </c>
      <c r="F32" s="5" t="inlineStr">
        <is>
          <t>Bank Transfer</t>
        </is>
      </c>
      <c r="G32" s="5" t="inlineStr">
        <is>
          <t>Bilal Khan (Head Ops)</t>
        </is>
      </c>
      <c r="H32" s="5" t="inlineStr">
        <is>
          <t>Banking Services</t>
        </is>
      </c>
      <c r="I32" s="5" t="inlineStr">
        <is>
          <t>INV-11220</t>
        </is>
      </c>
      <c r="J32" s="5" t="inlineStr">
        <is>
          <t>One-time</t>
        </is>
      </c>
      <c r="K32" s="5" t="inlineStr">
        <is>
          <t>Under Review</t>
        </is>
      </c>
      <c r="M32">
        <f>COUNTIFS($C$3:$C$500,C32,$E$3:$E$500,E32)</f>
        <v/>
      </c>
    </row>
    <row r="33">
      <c r="A33" s="2" t="inlineStr">
        <is>
          <t>TXN0031</t>
        </is>
      </c>
      <c r="B33" s="3" t="n">
        <v>45492</v>
      </c>
      <c r="C33" s="2" t="inlineStr">
        <is>
          <t>Al-Fatah Electronics</t>
        </is>
      </c>
      <c r="D33" s="2" t="inlineStr">
        <is>
          <t>Technology</t>
        </is>
      </c>
      <c r="E33" s="4" t="n">
        <v>26456</v>
      </c>
      <c r="F33" s="2" t="inlineStr">
        <is>
          <t>Bank Transfer</t>
        </is>
      </c>
      <c r="G33" s="2" t="inlineStr">
        <is>
          <t>Bilal Khan (Head Ops)</t>
        </is>
      </c>
      <c r="H33" s="2" t="inlineStr">
        <is>
          <t>Office Supplies</t>
        </is>
      </c>
      <c r="I33" s="2" t="inlineStr">
        <is>
          <t>INV-55745</t>
        </is>
      </c>
      <c r="J33" s="2" t="n"/>
      <c r="K33" s="2" t="inlineStr">
        <is>
          <t>Processed</t>
        </is>
      </c>
      <c r="M33">
        <f>COUNTIFS($C$3:$C$500,C33,$E$3:$E$500,E33)</f>
        <v/>
      </c>
    </row>
    <row r="34">
      <c r="A34" s="5" t="inlineStr">
        <is>
          <t>TXN0032</t>
        </is>
      </c>
      <c r="B34" s="6" t="n">
        <v>45743</v>
      </c>
      <c r="C34" s="5" t="inlineStr">
        <is>
          <t>PwC Pakistan</t>
        </is>
      </c>
      <c r="D34" s="5" t="inlineStr">
        <is>
          <t>Finance &amp; Accounts</t>
        </is>
      </c>
      <c r="E34" s="7" t="n">
        <v>373435</v>
      </c>
      <c r="F34" s="5" t="inlineStr">
        <is>
          <t>Bank Transfer</t>
        </is>
      </c>
      <c r="G34" s="5" t="inlineStr">
        <is>
          <t>Omer Saleem (CFO)</t>
        </is>
      </c>
      <c r="H34" s="5" t="inlineStr">
        <is>
          <t>Audit &amp; Legal</t>
        </is>
      </c>
      <c r="I34" s="5" t="inlineStr">
        <is>
          <t>INV-97538</t>
        </is>
      </c>
      <c r="J34" s="5" t="inlineStr">
        <is>
          <t>Urgent</t>
        </is>
      </c>
      <c r="K34" s="5" t="inlineStr">
        <is>
          <t>Processed</t>
        </is>
      </c>
      <c r="M34">
        <f>COUNTIFS($C$3:$C$500,C34,$E$3:$E$500,E34)</f>
        <v/>
      </c>
    </row>
    <row r="35">
      <c r="A35" s="2" t="inlineStr">
        <is>
          <t>TXN0033</t>
        </is>
      </c>
      <c r="B35" s="3" t="n">
        <v>45442</v>
      </c>
      <c r="C35" s="2" t="inlineStr">
        <is>
          <t>Nestle Pakistan</t>
        </is>
      </c>
      <c r="D35" s="2" t="inlineStr">
        <is>
          <t>Technology</t>
        </is>
      </c>
      <c r="E35" s="4" t="n">
        <v>25980</v>
      </c>
      <c r="F35" s="2" t="inlineStr">
        <is>
          <t>Bank Transfer</t>
        </is>
      </c>
      <c r="G35" s="2" t="inlineStr">
        <is>
          <t>Usman Tariq (Finance Manager)</t>
        </is>
      </c>
      <c r="H35" s="2" t="inlineStr">
        <is>
          <t>Office Supplies</t>
        </is>
      </c>
      <c r="I35" s="2" t="inlineStr">
        <is>
          <t>INV-45697</t>
        </is>
      </c>
      <c r="J35" s="2" t="n"/>
      <c r="K35" s="2" t="inlineStr">
        <is>
          <t>Under Review</t>
        </is>
      </c>
      <c r="M35">
        <f>COUNTIFS($C$3:$C$500,C35,$E$3:$E$500,E35)</f>
        <v/>
      </c>
    </row>
    <row r="36">
      <c r="A36" s="5" t="inlineStr">
        <is>
          <t>TXN0034</t>
        </is>
      </c>
      <c r="B36" s="6" t="n">
        <v>45734</v>
      </c>
      <c r="C36" s="5" t="inlineStr">
        <is>
          <t>Zong Business</t>
        </is>
      </c>
      <c r="D36" s="5" t="inlineStr">
        <is>
          <t>Risk Management</t>
        </is>
      </c>
      <c r="E36" s="7" t="n">
        <v>64124</v>
      </c>
      <c r="F36" s="5" t="inlineStr">
        <is>
          <t>Cheque</t>
        </is>
      </c>
      <c r="G36" s="5" t="inlineStr">
        <is>
          <t>Zara Malik (CFO Office)</t>
        </is>
      </c>
      <c r="H36" s="5" t="inlineStr">
        <is>
          <t>Telecom</t>
        </is>
      </c>
      <c r="I36" s="5" t="inlineStr">
        <is>
          <t>INV-42914</t>
        </is>
      </c>
      <c r="J36" s="5" t="n"/>
      <c r="K36" s="5" t="inlineStr">
        <is>
          <t>Processed</t>
        </is>
      </c>
      <c r="M36">
        <f>COUNTIFS($C$3:$C$500,C36,$E$3:$E$500,E36)</f>
        <v/>
      </c>
    </row>
    <row r="37">
      <c r="A37" s="2" t="inlineStr">
        <is>
          <t>TXN0035</t>
        </is>
      </c>
      <c r="B37" s="3" t="n">
        <v>45384</v>
      </c>
      <c r="C37" s="2" t="inlineStr">
        <is>
          <t>Singer Pakistan</t>
        </is>
      </c>
      <c r="D37" s="2" t="inlineStr">
        <is>
          <t>Operations</t>
        </is>
      </c>
      <c r="E37" s="4" t="n">
        <v>31701</v>
      </c>
      <c r="F37" s="2" t="inlineStr">
        <is>
          <t>Bank Transfer</t>
        </is>
      </c>
      <c r="G37" s="2" t="inlineStr">
        <is>
          <t>Bilal Khan (Head Ops)</t>
        </is>
      </c>
      <c r="H37" s="2" t="inlineStr">
        <is>
          <t>Office Supplies</t>
        </is>
      </c>
      <c r="I37" s="2" t="inlineStr">
        <is>
          <t>INV-93507</t>
        </is>
      </c>
      <c r="J37" s="2" t="n"/>
      <c r="K37" s="2" t="inlineStr">
        <is>
          <t>Processed</t>
        </is>
      </c>
      <c r="M37">
        <f>COUNTIFS($C$3:$C$500,C37,$E$3:$E$500,E37)</f>
        <v/>
      </c>
    </row>
    <row r="38">
      <c r="A38" s="5" t="inlineStr">
        <is>
          <t>TXN0036</t>
        </is>
      </c>
      <c r="B38" s="6" t="n">
        <v>45440</v>
      </c>
      <c r="C38" s="5" t="inlineStr">
        <is>
          <t>Leopards Courier</t>
        </is>
      </c>
      <c r="D38" s="5" t="inlineStr">
        <is>
          <t>Compliance</t>
        </is>
      </c>
      <c r="E38" s="7" t="n">
        <v>37033</v>
      </c>
      <c r="F38" s="5" t="inlineStr">
        <is>
          <t>Bank Transfer</t>
        </is>
      </c>
      <c r="G38" s="5" t="inlineStr">
        <is>
          <t>Usman Tariq (Finance Manager)</t>
        </is>
      </c>
      <c r="H38" s="5" t="inlineStr">
        <is>
          <t>Courier &amp; Logistics</t>
        </is>
      </c>
      <c r="I38" s="5" t="inlineStr">
        <is>
          <t>INV-81511</t>
        </is>
      </c>
      <c r="J38" s="5" t="n"/>
      <c r="K38" s="5" t="inlineStr">
        <is>
          <t>Processed</t>
        </is>
      </c>
      <c r="M38">
        <f>COUNTIFS($C$3:$C$500,C38,$E$3:$E$500,E38)</f>
        <v/>
      </c>
    </row>
    <row r="39">
      <c r="A39" s="2" t="inlineStr">
        <is>
          <t>TXN0037</t>
        </is>
      </c>
      <c r="B39" s="3" t="n">
        <v>45448</v>
      </c>
      <c r="C39" s="2" t="inlineStr">
        <is>
          <t>Metro Cash &amp; Carry</t>
        </is>
      </c>
      <c r="D39" s="2" t="inlineStr">
        <is>
          <t>Compliance</t>
        </is>
      </c>
      <c r="E39" s="4" t="n">
        <v>29593</v>
      </c>
      <c r="F39" s="2" t="inlineStr">
        <is>
          <t>RTGS</t>
        </is>
      </c>
      <c r="G39" s="2" t="inlineStr">
        <is>
          <t>Usman Tariq (Finance Manager)</t>
        </is>
      </c>
      <c r="H39" s="2" t="inlineStr">
        <is>
          <t>Office Supplies</t>
        </is>
      </c>
      <c r="I39" s="2" t="inlineStr">
        <is>
          <t>INV-57795</t>
        </is>
      </c>
      <c r="J39" s="2" t="n"/>
      <c r="K39" s="2" t="inlineStr">
        <is>
          <t>Processed</t>
        </is>
      </c>
      <c r="M39">
        <f>COUNTIFS($C$3:$C$500,C39,$E$3:$E$500,E39)</f>
        <v/>
      </c>
    </row>
    <row r="40">
      <c r="A40" s="5" t="inlineStr">
        <is>
          <t>TXN0038</t>
        </is>
      </c>
      <c r="B40" s="6" t="n">
        <v>45700</v>
      </c>
      <c r="C40" s="5" t="inlineStr">
        <is>
          <t>Zong Business</t>
        </is>
      </c>
      <c r="D40" s="5" t="inlineStr">
        <is>
          <t>Customer Experience</t>
        </is>
      </c>
      <c r="E40" s="7" t="n">
        <v>50237</v>
      </c>
      <c r="F40" s="5" t="inlineStr">
        <is>
          <t>RTGS</t>
        </is>
      </c>
      <c r="G40" s="5" t="inlineStr">
        <is>
          <t>Sara Ahmed (VP Finance)</t>
        </is>
      </c>
      <c r="H40" s="5" t="inlineStr">
        <is>
          <t>Telecom</t>
        </is>
      </c>
      <c r="I40" s="5" t="inlineStr">
        <is>
          <t>INV-31299</t>
        </is>
      </c>
      <c r="J40" s="5" t="n"/>
      <c r="K40" s="5" t="inlineStr">
        <is>
          <t>Processed</t>
        </is>
      </c>
      <c r="M40">
        <f>COUNTIFS($C$3:$C$500,C40,$E$3:$E$500,E40)</f>
        <v/>
      </c>
    </row>
    <row r="41">
      <c r="A41" s="2" t="inlineStr">
        <is>
          <t>TXN0039</t>
        </is>
      </c>
      <c r="B41" s="3" t="n">
        <v>45510</v>
      </c>
      <c r="C41" s="2" t="inlineStr">
        <is>
          <t>NetSol Technologies</t>
        </is>
      </c>
      <c r="D41" s="2" t="inlineStr">
        <is>
          <t>Technology</t>
        </is>
      </c>
      <c r="E41" s="4" t="n">
        <v>505913</v>
      </c>
      <c r="F41" s="2" t="inlineStr">
        <is>
          <t>Bank Transfer</t>
        </is>
      </c>
      <c r="G41" s="2" t="inlineStr">
        <is>
          <t>Omer Saleem (CFO)</t>
        </is>
      </c>
      <c r="H41" s="2" t="inlineStr">
        <is>
          <t>Software License</t>
        </is>
      </c>
      <c r="I41" s="2" t="inlineStr">
        <is>
          <t>INV-24168</t>
        </is>
      </c>
      <c r="J41" s="2" t="inlineStr">
        <is>
          <t>Pre-approved</t>
        </is>
      </c>
      <c r="K41" s="2" t="inlineStr">
        <is>
          <t>Processed</t>
        </is>
      </c>
      <c r="M41">
        <f>COUNTIFS($C$3:$C$500,C41,$E$3:$E$500,E41)</f>
        <v/>
      </c>
    </row>
    <row r="42">
      <c r="A42" s="5" t="inlineStr">
        <is>
          <t>TXN0040</t>
        </is>
      </c>
      <c r="B42" s="6" t="n">
        <v>45562</v>
      </c>
      <c r="C42" s="5" t="inlineStr">
        <is>
          <t>National Logistic Cell</t>
        </is>
      </c>
      <c r="D42" s="5" t="inlineStr">
        <is>
          <t>Finance &amp; Accounts</t>
        </is>
      </c>
      <c r="E42" s="7" t="n">
        <v>29467</v>
      </c>
      <c r="F42" s="5" t="inlineStr">
        <is>
          <t>RTGS</t>
        </is>
      </c>
      <c r="G42" s="5" t="inlineStr">
        <is>
          <t>Bilal Khan (Head Ops)</t>
        </is>
      </c>
      <c r="H42" s="5" t="inlineStr">
        <is>
          <t>Courier &amp; Logistics</t>
        </is>
      </c>
      <c r="I42" s="5" t="inlineStr">
        <is>
          <t>INV-39219</t>
        </is>
      </c>
      <c r="J42" s="5" t="n"/>
      <c r="K42" s="5" t="inlineStr">
        <is>
          <t>Processed</t>
        </is>
      </c>
      <c r="M42">
        <f>COUNTIFS($C$3:$C$500,C42,$E$3:$E$500,E42)</f>
        <v/>
      </c>
    </row>
    <row r="43">
      <c r="A43" s="2" t="inlineStr">
        <is>
          <t>TXN0041</t>
        </is>
      </c>
      <c r="B43" s="3" t="n">
        <v>45525</v>
      </c>
      <c r="C43" s="2" t="inlineStr">
        <is>
          <t>Haidermota &amp; Co</t>
        </is>
      </c>
      <c r="D43" s="2" t="inlineStr">
        <is>
          <t>Operations</t>
        </is>
      </c>
      <c r="E43" s="4" t="n">
        <v>298052</v>
      </c>
      <c r="F43" s="2" t="inlineStr">
        <is>
          <t>Online Transfer</t>
        </is>
      </c>
      <c r="G43" s="2" t="inlineStr">
        <is>
          <t>Omer Saleem (CFO)</t>
        </is>
      </c>
      <c r="H43" s="2" t="inlineStr">
        <is>
          <t>Legal Services</t>
        </is>
      </c>
      <c r="I43" s="2" t="inlineStr">
        <is>
          <t>INV-99065</t>
        </is>
      </c>
      <c r="J43" s="2" t="inlineStr">
        <is>
          <t>Urgent</t>
        </is>
      </c>
      <c r="K43" s="2" t="inlineStr">
        <is>
          <t>Processed</t>
        </is>
      </c>
      <c r="M43">
        <f>COUNTIFS($C$3:$C$500,C43,$E$3:$E$500,E43)</f>
        <v/>
      </c>
    </row>
    <row r="44">
      <c r="A44" s="5" t="inlineStr">
        <is>
          <t>TXN0042</t>
        </is>
      </c>
      <c r="B44" s="6" t="n">
        <v>45680</v>
      </c>
      <c r="C44" s="5" t="inlineStr">
        <is>
          <t>NetSol Technologies</t>
        </is>
      </c>
      <c r="D44" s="5" t="inlineStr">
        <is>
          <t>Technology</t>
        </is>
      </c>
      <c r="E44" s="7" t="n">
        <v>427675</v>
      </c>
      <c r="F44" s="5" t="inlineStr">
        <is>
          <t>Bank Transfer</t>
        </is>
      </c>
      <c r="G44" s="5" t="inlineStr">
        <is>
          <t>Omer Saleem (CFO)</t>
        </is>
      </c>
      <c r="H44" s="5" t="inlineStr">
        <is>
          <t>Software License</t>
        </is>
      </c>
      <c r="I44" s="5" t="inlineStr">
        <is>
          <t>INV-24208</t>
        </is>
      </c>
      <c r="J44" s="5" t="inlineStr">
        <is>
          <t>Pre-approved</t>
        </is>
      </c>
      <c r="K44" s="5" t="inlineStr">
        <is>
          <t>Processed</t>
        </is>
      </c>
      <c r="M44">
        <f>COUNTIFS($C$3:$C$500,C44,$E$3:$E$500,E44)</f>
        <v/>
      </c>
    </row>
    <row r="45">
      <c r="A45" s="2" t="inlineStr">
        <is>
          <t>TXN0043</t>
        </is>
      </c>
      <c r="B45" s="3" t="n">
        <v>45442</v>
      </c>
      <c r="C45" s="2" t="inlineStr">
        <is>
          <t>Deloitte Pakistan</t>
        </is>
      </c>
      <c r="D45" s="2" t="inlineStr">
        <is>
          <t>Operations</t>
        </is>
      </c>
      <c r="E45" s="4" t="n">
        <v>844882</v>
      </c>
      <c r="F45" s="2" t="inlineStr">
        <is>
          <t>RTGS</t>
        </is>
      </c>
      <c r="G45" s="2" t="inlineStr">
        <is>
          <t>Omer Saleem (CFO)</t>
        </is>
      </c>
      <c r="H45" s="2" t="inlineStr">
        <is>
          <t>Audit &amp; Legal</t>
        </is>
      </c>
      <c r="I45" s="2" t="inlineStr">
        <is>
          <t>INV-43386</t>
        </is>
      </c>
      <c r="J45" s="2" t="n"/>
      <c r="K45" s="2" t="inlineStr">
        <is>
          <t>Processed</t>
        </is>
      </c>
      <c r="M45">
        <f>COUNTIFS($C$3:$C$500,C45,$E$3:$E$500,E45)</f>
        <v/>
      </c>
    </row>
    <row r="46">
      <c r="A46" s="5" t="inlineStr">
        <is>
          <t>TXN0044</t>
        </is>
      </c>
      <c r="B46" s="6" t="n">
        <v>45569</v>
      </c>
      <c r="C46" s="5" t="inlineStr">
        <is>
          <t>Systems Limited</t>
        </is>
      </c>
      <c r="D46" s="5" t="inlineStr">
        <is>
          <t>Compliance</t>
        </is>
      </c>
      <c r="E46" s="7" t="n">
        <v>718682</v>
      </c>
      <c r="F46" s="5" t="inlineStr">
        <is>
          <t>Bank Transfer</t>
        </is>
      </c>
      <c r="G46" s="5" t="inlineStr">
        <is>
          <t>Omer Saleem (CFO)</t>
        </is>
      </c>
      <c r="H46" s="5" t="inlineStr">
        <is>
          <t>Software License</t>
        </is>
      </c>
      <c r="I46" s="5" t="inlineStr">
        <is>
          <t>INV-97062</t>
        </is>
      </c>
      <c r="J46" s="5" t="inlineStr">
        <is>
          <t>Recurring</t>
        </is>
      </c>
      <c r="K46" s="5" t="inlineStr">
        <is>
          <t>Under Review</t>
        </is>
      </c>
      <c r="M46">
        <f>COUNTIFS($C$3:$C$500,C46,$E$3:$E$500,E46)</f>
        <v/>
      </c>
    </row>
    <row r="47">
      <c r="A47" s="2" t="inlineStr">
        <is>
          <t>TXN0045</t>
        </is>
      </c>
      <c r="B47" s="3" t="n">
        <v>45642</v>
      </c>
      <c r="C47" s="2" t="inlineStr">
        <is>
          <t>Deloitte Pakistan</t>
        </is>
      </c>
      <c r="D47" s="2" t="inlineStr">
        <is>
          <t>Customer Experience</t>
        </is>
      </c>
      <c r="E47" s="4" t="n">
        <v>336446</v>
      </c>
      <c r="F47" s="2" t="inlineStr">
        <is>
          <t>Online Transfer</t>
        </is>
      </c>
      <c r="G47" s="2" t="inlineStr">
        <is>
          <t>Omer Saleem (CFO)</t>
        </is>
      </c>
      <c r="H47" s="2" t="inlineStr">
        <is>
          <t>Audit &amp; Legal</t>
        </is>
      </c>
      <c r="I47" s="2" t="inlineStr">
        <is>
          <t>INV-52753</t>
        </is>
      </c>
      <c r="J47" s="2" t="inlineStr">
        <is>
          <t>Pre-approved</t>
        </is>
      </c>
      <c r="K47" s="2" t="inlineStr">
        <is>
          <t>Processed</t>
        </is>
      </c>
      <c r="M47">
        <f>COUNTIFS($C$3:$C$500,C47,$E$3:$E$500,E47)</f>
        <v/>
      </c>
    </row>
    <row r="48">
      <c r="A48" s="5" t="inlineStr">
        <is>
          <t>TXN0046</t>
        </is>
      </c>
      <c r="B48" s="6" t="n">
        <v>45723</v>
      </c>
      <c r="C48" s="5" t="inlineStr">
        <is>
          <t>Avari Towers</t>
        </is>
      </c>
      <c r="D48" s="5" t="inlineStr">
        <is>
          <t>Technology</t>
        </is>
      </c>
      <c r="E48" s="7" t="n">
        <v>93024</v>
      </c>
      <c r="F48" s="5" t="inlineStr">
        <is>
          <t>Bank Transfer</t>
        </is>
      </c>
      <c r="G48" s="5" t="inlineStr">
        <is>
          <t>Zara Malik (CFO Office)</t>
        </is>
      </c>
      <c r="H48" s="5" t="inlineStr">
        <is>
          <t>Travel &amp; Accommodation</t>
        </is>
      </c>
      <c r="I48" s="5" t="inlineStr">
        <is>
          <t>INV-90676</t>
        </is>
      </c>
      <c r="J48" s="5" t="n"/>
      <c r="K48" s="5" t="inlineStr">
        <is>
          <t>Processed</t>
        </is>
      </c>
      <c r="M48">
        <f>COUNTIFS($C$3:$C$500,C48,$E$3:$E$500,E48)</f>
        <v/>
      </c>
    </row>
    <row r="49">
      <c r="A49" s="2" t="inlineStr">
        <is>
          <t>TXN0047</t>
        </is>
      </c>
      <c r="B49" s="3" t="n">
        <v>45490</v>
      </c>
      <c r="C49" s="2" t="inlineStr">
        <is>
          <t>Avari Towers</t>
        </is>
      </c>
      <c r="D49" s="2" t="inlineStr">
        <is>
          <t>Technology</t>
        </is>
      </c>
      <c r="E49" s="4" t="n">
        <v>120205</v>
      </c>
      <c r="F49" s="2" t="inlineStr">
        <is>
          <t>Online Transfer</t>
        </is>
      </c>
      <c r="G49" s="2" t="inlineStr">
        <is>
          <t>Zara Malik (CFO Office)</t>
        </is>
      </c>
      <c r="H49" s="2" t="inlineStr">
        <is>
          <t>Travel &amp; Accommodation</t>
        </is>
      </c>
      <c r="I49" s="2" t="inlineStr">
        <is>
          <t>INV-70946</t>
        </is>
      </c>
      <c r="J49" s="2" t="inlineStr">
        <is>
          <t>One-time</t>
        </is>
      </c>
      <c r="K49" s="2" t="inlineStr">
        <is>
          <t>Processed</t>
        </is>
      </c>
      <c r="M49">
        <f>COUNTIFS($C$3:$C$500,C49,$E$3:$E$500,E49)</f>
        <v/>
      </c>
    </row>
    <row r="50" customFormat="1" s="29">
      <c r="A50" s="26" t="inlineStr">
        <is>
          <t>TXN0048</t>
        </is>
      </c>
      <c r="B50" s="27" t="n">
        <v>45720</v>
      </c>
      <c r="C50" s="26" t="inlineStr">
        <is>
          <t>Zong Business</t>
        </is>
      </c>
      <c r="D50" s="26" t="inlineStr">
        <is>
          <t>Compliance</t>
        </is>
      </c>
      <c r="E50" s="28" t="n">
        <v>80648</v>
      </c>
      <c r="F50" s="26" t="inlineStr">
        <is>
          <t>RTGS</t>
        </is>
      </c>
      <c r="G50" s="26" t="inlineStr">
        <is>
          <t>Sara Ahmed (VP Finance)</t>
        </is>
      </c>
      <c r="H50" s="26" t="inlineStr">
        <is>
          <t>Telecom</t>
        </is>
      </c>
      <c r="I50" s="26" t="n"/>
      <c r="J50" s="26" t="inlineStr">
        <is>
          <t>Invoice pending from vendor</t>
        </is>
      </c>
      <c r="K50" s="26" t="inlineStr">
        <is>
          <t>Processed</t>
        </is>
      </c>
      <c r="M50" s="29">
        <f>COUNTIFS($C$3:$C$500,C50,$E$3:$E$500,E50)</f>
        <v/>
      </c>
    </row>
    <row r="51">
      <c r="A51" s="2" t="inlineStr">
        <is>
          <t>TXN0049</t>
        </is>
      </c>
      <c r="B51" s="3" t="n">
        <v>45484</v>
      </c>
      <c r="C51" s="2" t="inlineStr">
        <is>
          <t>Allied Bank Limited</t>
        </is>
      </c>
      <c r="D51" s="2" t="inlineStr">
        <is>
          <t>Customer Experience</t>
        </is>
      </c>
      <c r="E51" s="4" t="n">
        <v>70214</v>
      </c>
      <c r="F51" s="2" t="inlineStr">
        <is>
          <t>Bank Transfer</t>
        </is>
      </c>
      <c r="G51" s="2" t="inlineStr">
        <is>
          <t>Sara Ahmed (VP Finance)</t>
        </is>
      </c>
      <c r="H51" s="2" t="inlineStr">
        <is>
          <t>Banking Services</t>
        </is>
      </c>
      <c r="I51" s="2" t="inlineStr">
        <is>
          <t>INV-16057</t>
        </is>
      </c>
      <c r="J51" s="2" t="n"/>
      <c r="K51" s="2" t="inlineStr">
        <is>
          <t>Processed</t>
        </is>
      </c>
      <c r="M51">
        <f>COUNTIFS($C$3:$C$500,C51,$E$3:$E$500,E51)</f>
        <v/>
      </c>
    </row>
    <row r="52">
      <c r="A52" s="5" t="inlineStr">
        <is>
          <t>TXN0050</t>
        </is>
      </c>
      <c r="B52" s="6" t="n">
        <v>45705</v>
      </c>
      <c r="C52" s="5" t="inlineStr">
        <is>
          <t>Pak Elektron Limited</t>
        </is>
      </c>
      <c r="D52" s="5" t="inlineStr">
        <is>
          <t>Technology</t>
        </is>
      </c>
      <c r="E52" s="7" t="n">
        <v>565175</v>
      </c>
      <c r="F52" s="5" t="inlineStr">
        <is>
          <t>Online Transfer</t>
        </is>
      </c>
      <c r="G52" s="5" t="inlineStr">
        <is>
          <t>Omer Saleem (CFO)</t>
        </is>
      </c>
      <c r="H52" s="5" t="inlineStr">
        <is>
          <t>Hardware</t>
        </is>
      </c>
      <c r="I52" s="5" t="inlineStr">
        <is>
          <t>INV-74799</t>
        </is>
      </c>
      <c r="J52" s="5" t="inlineStr">
        <is>
          <t>Pre-approved</t>
        </is>
      </c>
      <c r="K52" s="5" t="inlineStr">
        <is>
          <t>Processed</t>
        </is>
      </c>
      <c r="M52">
        <f>COUNTIFS($C$3:$C$500,C52,$E$3:$E$500,E52)</f>
        <v/>
      </c>
    </row>
    <row r="53">
      <c r="A53" s="2" t="inlineStr">
        <is>
          <t>TXN0051</t>
        </is>
      </c>
      <c r="B53" s="3" t="n">
        <v>45600</v>
      </c>
      <c r="C53" s="2" t="inlineStr">
        <is>
          <t>Zones Pakistan Pvt Ltd</t>
        </is>
      </c>
      <c r="D53" s="2" t="inlineStr">
        <is>
          <t>Customer Experience</t>
        </is>
      </c>
      <c r="E53" s="4" t="n">
        <v>88407</v>
      </c>
      <c r="F53" s="2" t="inlineStr">
        <is>
          <t>Bank Transfer</t>
        </is>
      </c>
      <c r="G53" s="2" t="inlineStr">
        <is>
          <t>Sara Ahmed (VP Finance)</t>
        </is>
      </c>
      <c r="H53" s="2" t="inlineStr">
        <is>
          <t>Hardware</t>
        </is>
      </c>
      <c r="I53" s="2" t="inlineStr">
        <is>
          <t>INV-77889</t>
        </is>
      </c>
      <c r="J53" s="2" t="inlineStr">
        <is>
          <t>One-time</t>
        </is>
      </c>
      <c r="K53" s="2" t="inlineStr">
        <is>
          <t>Processed</t>
        </is>
      </c>
      <c r="M53">
        <f>COUNTIFS($C$3:$C$500,C53,$E$3:$E$500,E53)</f>
        <v/>
      </c>
    </row>
    <row r="54">
      <c r="A54" s="5" t="inlineStr">
        <is>
          <t>TXN0052</t>
        </is>
      </c>
      <c r="B54" s="6" t="n">
        <v>45687</v>
      </c>
      <c r="C54" s="5" t="inlineStr">
        <is>
          <t>Avari Towers</t>
        </is>
      </c>
      <c r="D54" s="5" t="inlineStr">
        <is>
          <t>Finance &amp; Accounts</t>
        </is>
      </c>
      <c r="E54" s="7" t="n">
        <v>75138</v>
      </c>
      <c r="F54" s="5" t="inlineStr">
        <is>
          <t>Cheque</t>
        </is>
      </c>
      <c r="G54" s="5" t="inlineStr">
        <is>
          <t>Zara Malik (CFO Office)</t>
        </is>
      </c>
      <c r="H54" s="5" t="inlineStr">
        <is>
          <t>Travel &amp; Accommodation</t>
        </is>
      </c>
      <c r="I54" s="5" t="inlineStr">
        <is>
          <t>INV-90301</t>
        </is>
      </c>
      <c r="J54" s="5" t="inlineStr">
        <is>
          <t>Urgent</t>
        </is>
      </c>
      <c r="K54" s="5" t="inlineStr">
        <is>
          <t>Processed</t>
        </is>
      </c>
      <c r="M54">
        <f>COUNTIFS($C$3:$C$500,C54,$E$3:$E$500,E54)</f>
        <v/>
      </c>
    </row>
    <row r="55">
      <c r="A55" s="2" t="inlineStr">
        <is>
          <t>TXN0053</t>
        </is>
      </c>
      <c r="B55" s="3" t="n">
        <v>45509</v>
      </c>
      <c r="C55" s="2" t="inlineStr">
        <is>
          <t>Avari Towers</t>
        </is>
      </c>
      <c r="D55" s="2" t="inlineStr">
        <is>
          <t>HR &amp; Admin</t>
        </is>
      </c>
      <c r="E55" s="4" t="n">
        <v>85346</v>
      </c>
      <c r="F55" s="2" t="inlineStr">
        <is>
          <t>Cheque</t>
        </is>
      </c>
      <c r="G55" s="2" t="inlineStr">
        <is>
          <t>Zara Malik (CFO Office)</t>
        </is>
      </c>
      <c r="H55" s="2" t="inlineStr">
        <is>
          <t>Travel &amp; Accommodation</t>
        </is>
      </c>
      <c r="I55" s="2" t="inlineStr">
        <is>
          <t>INV-92149</t>
        </is>
      </c>
      <c r="J55" s="2" t="n"/>
      <c r="K55" s="2" t="inlineStr">
        <is>
          <t>Processed</t>
        </is>
      </c>
      <c r="M55">
        <f>COUNTIFS($C$3:$C$500,C55,$E$3:$E$500,E55)</f>
        <v/>
      </c>
    </row>
    <row r="56">
      <c r="A56" s="5" t="inlineStr">
        <is>
          <t>TXN0054</t>
        </is>
      </c>
      <c r="B56" s="6" t="n">
        <v>45554</v>
      </c>
      <c r="C56" s="5" t="inlineStr">
        <is>
          <t>Leopards Courier</t>
        </is>
      </c>
      <c r="D56" s="5" t="inlineStr">
        <is>
          <t>Technology</t>
        </is>
      </c>
      <c r="E56" s="7" t="n">
        <v>31413</v>
      </c>
      <c r="F56" s="5" t="inlineStr">
        <is>
          <t>Bank Transfer</t>
        </is>
      </c>
      <c r="G56" s="5" t="inlineStr">
        <is>
          <t>Bilal Khan (Head Ops)</t>
        </is>
      </c>
      <c r="H56" s="5" t="inlineStr">
        <is>
          <t>Courier &amp; Logistics</t>
        </is>
      </c>
      <c r="I56" s="5" t="inlineStr">
        <is>
          <t>INV-28136</t>
        </is>
      </c>
      <c r="J56" s="5" t="n"/>
      <c r="K56" s="5" t="inlineStr">
        <is>
          <t>Processed</t>
        </is>
      </c>
      <c r="M56">
        <f>COUNTIFS($C$3:$C$500,C56,$E$3:$E$500,E56)</f>
        <v/>
      </c>
    </row>
    <row r="57">
      <c r="A57" s="2" t="inlineStr">
        <is>
          <t>TXN0055</t>
        </is>
      </c>
      <c r="B57" s="3" t="n">
        <v>45415</v>
      </c>
      <c r="C57" s="2" t="inlineStr">
        <is>
          <t>Axis Law Chambers</t>
        </is>
      </c>
      <c r="D57" s="2" t="inlineStr">
        <is>
          <t>Risk Management</t>
        </is>
      </c>
      <c r="E57" s="4" t="n">
        <v>234465</v>
      </c>
      <c r="F57" s="2" t="inlineStr">
        <is>
          <t>Online Transfer</t>
        </is>
      </c>
      <c r="G57" s="2" t="inlineStr">
        <is>
          <t>Omer Saleem (CFO)</t>
        </is>
      </c>
      <c r="H57" s="2" t="inlineStr">
        <is>
          <t>Legal Services</t>
        </is>
      </c>
      <c r="I57" s="2" t="inlineStr">
        <is>
          <t>INV-53369</t>
        </is>
      </c>
      <c r="J57" s="2" t="inlineStr">
        <is>
          <t>Urgent</t>
        </is>
      </c>
      <c r="K57" s="2" t="inlineStr">
        <is>
          <t>Processed</t>
        </is>
      </c>
      <c r="M57">
        <f>COUNTIFS($C$3:$C$500,C57,$E$3:$E$500,E57)</f>
        <v/>
      </c>
    </row>
    <row r="58">
      <c r="A58" s="5" t="inlineStr">
        <is>
          <t>TXN0056</t>
        </is>
      </c>
      <c r="B58" s="6" t="n">
        <v>45582</v>
      </c>
      <c r="C58" s="5" t="inlineStr">
        <is>
          <t>TCS Couriers</t>
        </is>
      </c>
      <c r="D58" s="5" t="inlineStr">
        <is>
          <t>Technology</t>
        </is>
      </c>
      <c r="E58" s="7" t="n">
        <v>29285</v>
      </c>
      <c r="F58" s="5" t="inlineStr">
        <is>
          <t>Online Transfer</t>
        </is>
      </c>
      <c r="G58" s="5" t="inlineStr">
        <is>
          <t>Usman Tariq (Finance Manager)</t>
        </is>
      </c>
      <c r="H58" s="5" t="inlineStr">
        <is>
          <t>Courier &amp; Logistics</t>
        </is>
      </c>
      <c r="I58" s="5" t="inlineStr">
        <is>
          <t>INV-72518</t>
        </is>
      </c>
      <c r="J58" s="5" t="n"/>
      <c r="K58" s="5" t="inlineStr">
        <is>
          <t>Processed</t>
        </is>
      </c>
      <c r="M58">
        <f>COUNTIFS($C$3:$C$500,C58,$E$3:$E$500,E58)</f>
        <v/>
      </c>
    </row>
    <row r="59">
      <c r="A59" s="2" t="inlineStr">
        <is>
          <t>TXN0057</t>
        </is>
      </c>
      <c r="B59" s="3" t="n">
        <v>45691</v>
      </c>
      <c r="C59" s="2" t="inlineStr">
        <is>
          <t>UBL Corporate</t>
        </is>
      </c>
      <c r="D59" s="2" t="inlineStr">
        <is>
          <t>Operations</t>
        </is>
      </c>
      <c r="E59" s="4" t="n">
        <v>89586</v>
      </c>
      <c r="F59" s="2" t="inlineStr">
        <is>
          <t>Cheque</t>
        </is>
      </c>
      <c r="G59" s="2" t="inlineStr">
        <is>
          <t>Sara Ahmed (VP Finance)</t>
        </is>
      </c>
      <c r="H59" s="2" t="inlineStr">
        <is>
          <t>Banking Services</t>
        </is>
      </c>
      <c r="I59" s="2" t="inlineStr">
        <is>
          <t>INV-38760</t>
        </is>
      </c>
      <c r="J59" s="2" t="n"/>
      <c r="K59" s="2" t="inlineStr">
        <is>
          <t>Processed</t>
        </is>
      </c>
      <c r="M59">
        <f>COUNTIFS($C$3:$C$500,C59,$E$3:$E$500,E59)</f>
        <v/>
      </c>
    </row>
    <row r="60">
      <c r="A60" s="5" t="inlineStr">
        <is>
          <t>TXN0058</t>
        </is>
      </c>
      <c r="B60" s="6" t="n">
        <v>45730</v>
      </c>
      <c r="C60" s="5" t="inlineStr">
        <is>
          <t>Mashaal Movers</t>
        </is>
      </c>
      <c r="D60" s="5" t="inlineStr">
        <is>
          <t>Technology</t>
        </is>
      </c>
      <c r="E60" s="7" t="n">
        <v>39838</v>
      </c>
      <c r="F60" s="5" t="inlineStr">
        <is>
          <t>Bank Transfer</t>
        </is>
      </c>
      <c r="G60" s="5" t="inlineStr">
        <is>
          <t>Bilal Khan (Head Ops)</t>
        </is>
      </c>
      <c r="H60" s="5" t="inlineStr">
        <is>
          <t>Courier &amp; Logistics</t>
        </is>
      </c>
      <c r="I60" s="5" t="inlineStr">
        <is>
          <t>INV-71261</t>
        </is>
      </c>
      <c r="J60" s="5" t="n"/>
      <c r="K60" s="5" t="inlineStr">
        <is>
          <t>Under Review</t>
        </is>
      </c>
      <c r="M60">
        <f>COUNTIFS($C$3:$C$500,C60,$E$3:$E$500,E60)</f>
        <v/>
      </c>
    </row>
    <row r="61">
      <c r="A61" s="2" t="inlineStr">
        <is>
          <t>TXN0059</t>
        </is>
      </c>
      <c r="B61" s="3" t="n">
        <v>45425</v>
      </c>
      <c r="C61" s="2" t="inlineStr">
        <is>
          <t>Serena Hotel Lahore</t>
        </is>
      </c>
      <c r="D61" s="2" t="inlineStr">
        <is>
          <t>Technology</t>
        </is>
      </c>
      <c r="E61" s="4" t="n">
        <v>139581</v>
      </c>
      <c r="F61" s="2" t="inlineStr">
        <is>
          <t>Bank Transfer</t>
        </is>
      </c>
      <c r="G61" s="2" t="inlineStr">
        <is>
          <t>Zara Malik (CFO Office)</t>
        </is>
      </c>
      <c r="H61" s="2" t="inlineStr">
        <is>
          <t>Travel &amp; Accommodation</t>
        </is>
      </c>
      <c r="I61" s="2" t="inlineStr">
        <is>
          <t>INV-70515</t>
        </is>
      </c>
      <c r="J61" s="2" t="n"/>
      <c r="K61" s="2" t="inlineStr">
        <is>
          <t>Processed</t>
        </is>
      </c>
      <c r="M61">
        <f>COUNTIFS($C$3:$C$500,C61,$E$3:$E$500,E61)</f>
        <v/>
      </c>
    </row>
    <row r="62">
      <c r="A62" s="5" t="inlineStr">
        <is>
          <t>TXN0060</t>
        </is>
      </c>
      <c r="B62" s="6" t="n">
        <v>45615</v>
      </c>
      <c r="C62" s="5" t="inlineStr">
        <is>
          <t>MCB Bank Ltd</t>
        </is>
      </c>
      <c r="D62" s="5" t="inlineStr">
        <is>
          <t>Operations</t>
        </is>
      </c>
      <c r="E62" s="7" t="n">
        <v>72220</v>
      </c>
      <c r="F62" s="5" t="inlineStr">
        <is>
          <t>Online Transfer</t>
        </is>
      </c>
      <c r="G62" s="5" t="inlineStr">
        <is>
          <t>Zara Malik (CFO Office)</t>
        </is>
      </c>
      <c r="H62" s="5" t="inlineStr">
        <is>
          <t>Banking Services</t>
        </is>
      </c>
      <c r="I62" s="5" t="inlineStr">
        <is>
          <t>INV-59692</t>
        </is>
      </c>
      <c r="J62" s="5" t="n"/>
      <c r="K62" s="5" t="inlineStr">
        <is>
          <t>Processed</t>
        </is>
      </c>
      <c r="M62">
        <f>COUNTIFS($C$3:$C$500,C62,$E$3:$E$500,E62)</f>
        <v/>
      </c>
    </row>
    <row r="63">
      <c r="A63" s="2" t="inlineStr">
        <is>
          <t>TXN0061</t>
        </is>
      </c>
      <c r="B63" s="3" t="n">
        <v>45659</v>
      </c>
      <c r="C63" s="2" t="inlineStr">
        <is>
          <t>MCB Bank Ltd</t>
        </is>
      </c>
      <c r="D63" s="2" t="inlineStr">
        <is>
          <t>Technology</t>
        </is>
      </c>
      <c r="E63" s="4" t="n">
        <v>87808</v>
      </c>
      <c r="F63" s="2" t="inlineStr">
        <is>
          <t>Online Transfer</t>
        </is>
      </c>
      <c r="G63" s="2" t="inlineStr">
        <is>
          <t>Sara Ahmed (VP Finance)</t>
        </is>
      </c>
      <c r="H63" s="2" t="inlineStr">
        <is>
          <t>Banking Services</t>
        </is>
      </c>
      <c r="I63" s="2" t="inlineStr">
        <is>
          <t>INV-39389</t>
        </is>
      </c>
      <c r="J63" s="2" t="n"/>
      <c r="K63" s="2" t="inlineStr">
        <is>
          <t>Processed</t>
        </is>
      </c>
      <c r="M63">
        <f>COUNTIFS($C$3:$C$500,C63,$E$3:$E$500,E63)</f>
        <v/>
      </c>
    </row>
    <row r="64">
      <c r="A64" s="5" t="inlineStr">
        <is>
          <t>TXN0062</t>
        </is>
      </c>
      <c r="B64" s="6" t="n">
        <v>45701</v>
      </c>
      <c r="C64" s="5" t="inlineStr">
        <is>
          <t>NetSol Technologies</t>
        </is>
      </c>
      <c r="D64" s="5" t="inlineStr">
        <is>
          <t>Finance &amp; Accounts</t>
        </is>
      </c>
      <c r="E64" s="7" t="n">
        <v>360224</v>
      </c>
      <c r="F64" s="5" t="inlineStr">
        <is>
          <t>RTGS</t>
        </is>
      </c>
      <c r="G64" s="5" t="inlineStr">
        <is>
          <t>Omer Saleem (CFO)</t>
        </is>
      </c>
      <c r="H64" s="5" t="inlineStr">
        <is>
          <t>Software License</t>
        </is>
      </c>
      <c r="I64" s="5" t="inlineStr">
        <is>
          <t>INV-26544</t>
        </is>
      </c>
      <c r="J64" s="5" t="inlineStr">
        <is>
          <t>One-time</t>
        </is>
      </c>
      <c r="K64" s="5" t="inlineStr">
        <is>
          <t>Processed</t>
        </is>
      </c>
      <c r="M64">
        <f>COUNTIFS($C$3:$C$500,C64,$E$3:$E$500,E64)</f>
        <v/>
      </c>
    </row>
    <row r="65">
      <c r="A65" s="2" t="inlineStr">
        <is>
          <t>TXN0063</t>
        </is>
      </c>
      <c r="B65" s="3" t="n">
        <v>45468</v>
      </c>
      <c r="C65" s="2" t="inlineStr">
        <is>
          <t>Al-Fatah Electronics</t>
        </is>
      </c>
      <c r="D65" s="2" t="inlineStr">
        <is>
          <t>Finance &amp; Accounts</t>
        </is>
      </c>
      <c r="E65" s="4" t="n">
        <v>47521</v>
      </c>
      <c r="F65" s="2" t="inlineStr">
        <is>
          <t>Bank Transfer</t>
        </is>
      </c>
      <c r="G65" s="2" t="inlineStr">
        <is>
          <t>Usman Tariq (Finance Manager)</t>
        </is>
      </c>
      <c r="H65" s="2" t="inlineStr">
        <is>
          <t>Office Supplies</t>
        </is>
      </c>
      <c r="I65" s="2" t="inlineStr">
        <is>
          <t>INV-50768</t>
        </is>
      </c>
      <c r="J65" s="2" t="n"/>
      <c r="K65" s="2" t="inlineStr">
        <is>
          <t>Under Review</t>
        </is>
      </c>
      <c r="M65">
        <f>COUNTIFS($C$3:$C$500,C65,$E$3:$E$500,E65)</f>
        <v/>
      </c>
    </row>
    <row r="66">
      <c r="A66" s="5" t="inlineStr">
        <is>
          <t>TXN0064</t>
        </is>
      </c>
      <c r="B66" s="6" t="n">
        <v>45586</v>
      </c>
      <c r="C66" s="5" t="inlineStr">
        <is>
          <t>NetSol Technologies</t>
        </is>
      </c>
      <c r="D66" s="5" t="inlineStr">
        <is>
          <t>Finance &amp; Accounts</t>
        </is>
      </c>
      <c r="E66" s="7" t="n">
        <v>760762</v>
      </c>
      <c r="F66" s="5" t="inlineStr">
        <is>
          <t>Bank Transfer</t>
        </is>
      </c>
      <c r="G66" s="5" t="inlineStr">
        <is>
          <t>Omer Saleem (CFO)</t>
        </is>
      </c>
      <c r="H66" s="5" t="inlineStr">
        <is>
          <t>Software License</t>
        </is>
      </c>
      <c r="I66" s="5" t="inlineStr">
        <is>
          <t>INV-87607</t>
        </is>
      </c>
      <c r="J66" s="5" t="n"/>
      <c r="K66" s="5" t="inlineStr">
        <is>
          <t>Processed</t>
        </is>
      </c>
      <c r="M66">
        <f>COUNTIFS($C$3:$C$500,C66,$E$3:$E$500,E66)</f>
        <v/>
      </c>
    </row>
    <row r="67">
      <c r="A67" s="2" t="inlineStr">
        <is>
          <t>TXN0065</t>
        </is>
      </c>
      <c r="B67" s="3" t="n">
        <v>45672</v>
      </c>
      <c r="C67" s="2" t="inlineStr">
        <is>
          <t>UBL Corporate</t>
        </is>
      </c>
      <c r="D67" s="2" t="inlineStr">
        <is>
          <t>Customer Experience</t>
        </is>
      </c>
      <c r="E67" s="4" t="n">
        <v>106527</v>
      </c>
      <c r="F67" s="2" t="inlineStr">
        <is>
          <t>Online Transfer</t>
        </is>
      </c>
      <c r="G67" s="2" t="inlineStr">
        <is>
          <t>Sara Ahmed (VP Finance)</t>
        </is>
      </c>
      <c r="H67" s="2" t="inlineStr">
        <is>
          <t>Banking Services</t>
        </is>
      </c>
      <c r="I67" s="2" t="inlineStr">
        <is>
          <t>INV-79827</t>
        </is>
      </c>
      <c r="J67" s="2" t="inlineStr">
        <is>
          <t>Pre-approved</t>
        </is>
      </c>
      <c r="K67" s="2" t="inlineStr">
        <is>
          <t>Processed</t>
        </is>
      </c>
      <c r="M67">
        <f>COUNTIFS($C$3:$C$500,C67,$E$3:$E$500,E67)</f>
        <v/>
      </c>
    </row>
    <row r="68">
      <c r="A68" s="5" t="inlineStr">
        <is>
          <t>TXN0066</t>
        </is>
      </c>
      <c r="B68" s="6" t="n">
        <v>45604</v>
      </c>
      <c r="C68" s="5" t="inlineStr">
        <is>
          <t>IBM Pakistan</t>
        </is>
      </c>
      <c r="D68" s="5" t="inlineStr">
        <is>
          <t>Compliance</t>
        </is>
      </c>
      <c r="E68" s="7" t="n">
        <v>805435</v>
      </c>
      <c r="F68" s="5" t="inlineStr">
        <is>
          <t>Cheque</t>
        </is>
      </c>
      <c r="G68" s="5" t="inlineStr">
        <is>
          <t>Omer Saleem (CFO)</t>
        </is>
      </c>
      <c r="H68" s="5" t="inlineStr">
        <is>
          <t>IT Services</t>
        </is>
      </c>
      <c r="I68" s="5" t="inlineStr">
        <is>
          <t>INV-30052</t>
        </is>
      </c>
      <c r="J68" s="5" t="inlineStr">
        <is>
          <t>Pre-approved</t>
        </is>
      </c>
      <c r="K68" s="5" t="inlineStr">
        <is>
          <t>Processed</t>
        </is>
      </c>
      <c r="M68">
        <f>COUNTIFS($C$3:$C$500,C68,$E$3:$E$500,E68)</f>
        <v/>
      </c>
    </row>
    <row r="69">
      <c r="A69" s="2" t="inlineStr">
        <is>
          <t>TXN0067</t>
        </is>
      </c>
      <c r="B69" s="3" t="n">
        <v>45630</v>
      </c>
      <c r="C69" s="2" t="inlineStr">
        <is>
          <t>Marriott Islamabad</t>
        </is>
      </c>
      <c r="D69" s="2" t="inlineStr">
        <is>
          <t>Customer Experience</t>
        </is>
      </c>
      <c r="E69" s="4" t="n">
        <v>115464</v>
      </c>
      <c r="F69" s="2" t="inlineStr">
        <is>
          <t>Online Transfer</t>
        </is>
      </c>
      <c r="G69" s="2" t="inlineStr">
        <is>
          <t>Zara Malik (CFO Office)</t>
        </is>
      </c>
      <c r="H69" s="2" t="inlineStr">
        <is>
          <t>Travel &amp; Accommodation</t>
        </is>
      </c>
      <c r="I69" s="2" t="inlineStr">
        <is>
          <t>INV-87656</t>
        </is>
      </c>
      <c r="J69" s="2" t="n"/>
      <c r="K69" s="2" t="inlineStr">
        <is>
          <t>Processed</t>
        </is>
      </c>
      <c r="M69">
        <f>COUNTIFS($C$3:$C$500,C69,$E$3:$E$500,E69)</f>
        <v/>
      </c>
    </row>
    <row r="70">
      <c r="A70" s="5" t="inlineStr">
        <is>
          <t>TXN0068</t>
        </is>
      </c>
      <c r="B70" s="6" t="n">
        <v>45674</v>
      </c>
      <c r="C70" s="5" t="inlineStr">
        <is>
          <t>Allied Bank Limited</t>
        </is>
      </c>
      <c r="D70" s="5" t="inlineStr">
        <is>
          <t>Technology</t>
        </is>
      </c>
      <c r="E70" s="7" t="n">
        <v>69791</v>
      </c>
      <c r="F70" s="5" t="inlineStr">
        <is>
          <t>Online Transfer</t>
        </is>
      </c>
      <c r="G70" s="5" t="inlineStr">
        <is>
          <t>Zara Malik (CFO Office)</t>
        </is>
      </c>
      <c r="H70" s="5" t="inlineStr">
        <is>
          <t>Banking Services</t>
        </is>
      </c>
      <c r="I70" s="5" t="inlineStr">
        <is>
          <t>INV-13761</t>
        </is>
      </c>
      <c r="J70" s="5" t="inlineStr">
        <is>
          <t>One-time</t>
        </is>
      </c>
      <c r="K70" s="5" t="inlineStr">
        <is>
          <t>Processed</t>
        </is>
      </c>
      <c r="M70">
        <f>COUNTIFS($C$3:$C$500,C70,$E$3:$E$500,E70)</f>
        <v/>
      </c>
    </row>
    <row r="71">
      <c r="A71" s="2" t="inlineStr">
        <is>
          <t>TXN0069</t>
        </is>
      </c>
      <c r="B71" s="3" t="n">
        <v>45526</v>
      </c>
      <c r="C71" s="2" t="inlineStr">
        <is>
          <t>Telenor Pakistan</t>
        </is>
      </c>
      <c r="D71" s="2" t="inlineStr">
        <is>
          <t>HR &amp; Admin</t>
        </is>
      </c>
      <c r="E71" s="4" t="n">
        <v>49462</v>
      </c>
      <c r="F71" s="2" t="inlineStr">
        <is>
          <t>Bank Transfer</t>
        </is>
      </c>
      <c r="G71" s="2" t="inlineStr">
        <is>
          <t>Bilal Khan (Head Ops)</t>
        </is>
      </c>
      <c r="H71" s="2" t="inlineStr">
        <is>
          <t>Telecom</t>
        </is>
      </c>
      <c r="I71" s="2" t="inlineStr">
        <is>
          <t>INV-77715</t>
        </is>
      </c>
      <c r="J71" s="2" t="n"/>
      <c r="K71" s="2" t="inlineStr">
        <is>
          <t>Processed</t>
        </is>
      </c>
      <c r="M71">
        <f>COUNTIFS($C$3:$C$500,C71,$E$3:$E$500,E71)</f>
        <v/>
      </c>
    </row>
    <row r="72">
      <c r="A72" s="5" t="inlineStr">
        <is>
          <t>TXN0070</t>
        </is>
      </c>
      <c r="B72" s="6" t="n">
        <v>45667</v>
      </c>
      <c r="C72" s="5" t="inlineStr">
        <is>
          <t>Allied Bank Limited</t>
        </is>
      </c>
      <c r="D72" s="5" t="inlineStr">
        <is>
          <t>Risk Management</t>
        </is>
      </c>
      <c r="E72" s="7" t="n">
        <v>87122</v>
      </c>
      <c r="F72" s="5" t="inlineStr">
        <is>
          <t>Cheque</t>
        </is>
      </c>
      <c r="G72" s="5" t="inlineStr">
        <is>
          <t>Sara Ahmed (VP Finance)</t>
        </is>
      </c>
      <c r="H72" s="5" t="inlineStr">
        <is>
          <t>Banking Services</t>
        </is>
      </c>
      <c r="I72" s="5" t="inlineStr">
        <is>
          <t>INV-94659</t>
        </is>
      </c>
      <c r="J72" s="5" t="inlineStr">
        <is>
          <t>One-time</t>
        </is>
      </c>
      <c r="K72" s="5" t="inlineStr">
        <is>
          <t>Processed</t>
        </is>
      </c>
      <c r="M72">
        <f>COUNTIFS($C$3:$C$500,C72,$E$3:$E$500,E72)</f>
        <v/>
      </c>
    </row>
    <row r="73">
      <c r="A73" s="2" t="inlineStr">
        <is>
          <t>TXN0071</t>
        </is>
      </c>
      <c r="B73" s="3" t="n">
        <v>45590</v>
      </c>
      <c r="C73" s="2" t="inlineStr">
        <is>
          <t>NetSol Technologies</t>
        </is>
      </c>
      <c r="D73" s="2" t="inlineStr">
        <is>
          <t>Technology</t>
        </is>
      </c>
      <c r="E73" s="4" t="n">
        <v>463005</v>
      </c>
      <c r="F73" s="2" t="inlineStr">
        <is>
          <t>RTGS</t>
        </is>
      </c>
      <c r="G73" s="2" t="inlineStr">
        <is>
          <t>Omer Saleem (CFO)</t>
        </is>
      </c>
      <c r="H73" s="2" t="inlineStr">
        <is>
          <t>Software License</t>
        </is>
      </c>
      <c r="I73" s="2" t="inlineStr">
        <is>
          <t>INV-97026</t>
        </is>
      </c>
      <c r="J73" s="2" t="inlineStr">
        <is>
          <t>Recurring</t>
        </is>
      </c>
      <c r="K73" s="2" t="inlineStr">
        <is>
          <t>Processed</t>
        </is>
      </c>
      <c r="M73">
        <f>COUNTIFS($C$3:$C$500,C73,$E$3:$E$500,E73)</f>
        <v/>
      </c>
    </row>
    <row r="74">
      <c r="A74" s="5" t="inlineStr">
        <is>
          <t>TXN0072</t>
        </is>
      </c>
      <c r="B74" s="6" t="n">
        <v>45664</v>
      </c>
      <c r="C74" s="5" t="inlineStr">
        <is>
          <t>Avari Towers</t>
        </is>
      </c>
      <c r="D74" s="5" t="inlineStr">
        <is>
          <t>Compliance</t>
        </is>
      </c>
      <c r="E74" s="7" t="n">
        <v>132931</v>
      </c>
      <c r="F74" s="5" t="inlineStr">
        <is>
          <t>Online Transfer</t>
        </is>
      </c>
      <c r="G74" s="5" t="inlineStr">
        <is>
          <t>Zara Malik (CFO Office)</t>
        </is>
      </c>
      <c r="H74" s="5" t="inlineStr">
        <is>
          <t>Travel &amp; Accommodation</t>
        </is>
      </c>
      <c r="I74" s="5" t="inlineStr">
        <is>
          <t>INV-69473</t>
        </is>
      </c>
      <c r="J74" s="5" t="n"/>
      <c r="K74" s="5" t="inlineStr">
        <is>
          <t>Processed</t>
        </is>
      </c>
      <c r="M74">
        <f>COUNTIFS($C$3:$C$500,C74,$E$3:$E$500,E74)</f>
        <v/>
      </c>
    </row>
    <row r="75">
      <c r="A75" s="2" t="inlineStr">
        <is>
          <t>TXN0073</t>
        </is>
      </c>
      <c r="B75" s="3" t="n">
        <v>45544</v>
      </c>
      <c r="C75" s="2" t="inlineStr">
        <is>
          <t>MCB Bank Ltd</t>
        </is>
      </c>
      <c r="D75" s="2" t="inlineStr">
        <is>
          <t>Finance &amp; Accounts</t>
        </is>
      </c>
      <c r="E75" s="4" t="n">
        <v>44816</v>
      </c>
      <c r="F75" s="2" t="inlineStr">
        <is>
          <t>Bank Transfer</t>
        </is>
      </c>
      <c r="G75" s="2" t="inlineStr">
        <is>
          <t>Usman Tariq (Finance Manager)</t>
        </is>
      </c>
      <c r="H75" s="2" t="inlineStr">
        <is>
          <t>Banking Services</t>
        </is>
      </c>
      <c r="I75" s="2" t="inlineStr">
        <is>
          <t>INV-35105</t>
        </is>
      </c>
      <c r="J75" s="2" t="n"/>
      <c r="K75" s="2" t="inlineStr">
        <is>
          <t>Processed</t>
        </is>
      </c>
      <c r="M75">
        <f>COUNTIFS($C$3:$C$500,C75,$E$3:$E$500,E75)</f>
        <v/>
      </c>
    </row>
    <row r="76">
      <c r="A76" s="5" t="inlineStr">
        <is>
          <t>TXN0074</t>
        </is>
      </c>
      <c r="B76" s="6" t="n">
        <v>45688</v>
      </c>
      <c r="C76" s="5" t="inlineStr">
        <is>
          <t>HBL Corporate</t>
        </is>
      </c>
      <c r="D76" s="5" t="inlineStr">
        <is>
          <t>Risk Management</t>
        </is>
      </c>
      <c r="E76" s="7" t="n">
        <v>111720</v>
      </c>
      <c r="F76" s="5" t="inlineStr">
        <is>
          <t>Bank Transfer</t>
        </is>
      </c>
      <c r="G76" s="5" t="inlineStr">
        <is>
          <t>Zara Malik (CFO Office)</t>
        </is>
      </c>
      <c r="H76" s="5" t="inlineStr">
        <is>
          <t>Banking Services</t>
        </is>
      </c>
      <c r="I76" s="5" t="inlineStr">
        <is>
          <t>INV-35443</t>
        </is>
      </c>
      <c r="J76" s="5" t="n"/>
      <c r="K76" s="5" t="inlineStr">
        <is>
          <t>Processed</t>
        </is>
      </c>
      <c r="M76">
        <f>COUNTIFS($C$3:$C$500,C76,$E$3:$E$500,E76)</f>
        <v/>
      </c>
    </row>
    <row r="77">
      <c r="A77" s="2" t="inlineStr">
        <is>
          <t>TXN0075</t>
        </is>
      </c>
      <c r="B77" s="3" t="n">
        <v>45656</v>
      </c>
      <c r="C77" s="2" t="inlineStr">
        <is>
          <t>PwC Pakistan</t>
        </is>
      </c>
      <c r="D77" s="2" t="inlineStr">
        <is>
          <t>Technology</t>
        </is>
      </c>
      <c r="E77" s="4" t="n">
        <v>518028</v>
      </c>
      <c r="F77" s="2" t="inlineStr">
        <is>
          <t>RTGS</t>
        </is>
      </c>
      <c r="G77" s="2" t="inlineStr">
        <is>
          <t>Omer Saleem (CFO)</t>
        </is>
      </c>
      <c r="H77" s="2" t="inlineStr">
        <is>
          <t>Audit &amp; Legal</t>
        </is>
      </c>
      <c r="I77" s="2" t="inlineStr">
        <is>
          <t>INV-15965</t>
        </is>
      </c>
      <c r="J77" s="2" t="n"/>
      <c r="K77" s="2" t="inlineStr">
        <is>
          <t>Pending</t>
        </is>
      </c>
      <c r="M77">
        <f>COUNTIFS($C$3:$C$500,C77,$E$3:$E$500,E77)</f>
        <v/>
      </c>
    </row>
    <row r="78">
      <c r="A78" s="5" t="inlineStr">
        <is>
          <t>TXN0076</t>
        </is>
      </c>
      <c r="B78" s="6" t="n">
        <v>45435</v>
      </c>
      <c r="C78" s="5" t="inlineStr">
        <is>
          <t>Meezan Bank Ltd</t>
        </is>
      </c>
      <c r="D78" s="5" t="inlineStr">
        <is>
          <t>Risk Management</t>
        </is>
      </c>
      <c r="E78" s="7" t="n">
        <v>50440</v>
      </c>
      <c r="F78" s="5" t="inlineStr">
        <is>
          <t>RTGS</t>
        </is>
      </c>
      <c r="G78" s="5" t="inlineStr">
        <is>
          <t>Sara Ahmed (VP Finance)</t>
        </is>
      </c>
      <c r="H78" s="5" t="inlineStr">
        <is>
          <t>Banking Services</t>
        </is>
      </c>
      <c r="I78" s="5" t="inlineStr">
        <is>
          <t>INV-71524</t>
        </is>
      </c>
      <c r="J78" s="5" t="inlineStr">
        <is>
          <t>One-time</t>
        </is>
      </c>
      <c r="K78" s="5" t="inlineStr">
        <is>
          <t>Processed</t>
        </is>
      </c>
      <c r="M78">
        <f>COUNTIFS($C$3:$C$500,C78,$E$3:$E$500,E78)</f>
        <v/>
      </c>
    </row>
    <row r="79">
      <c r="A79" s="2" t="inlineStr">
        <is>
          <t>TXN0077</t>
        </is>
      </c>
      <c r="B79" s="3" t="n">
        <v>45441</v>
      </c>
      <c r="C79" s="2" t="inlineStr">
        <is>
          <t>KPMG Taseer Hadi</t>
        </is>
      </c>
      <c r="D79" s="2" t="inlineStr">
        <is>
          <t>Technology</t>
        </is>
      </c>
      <c r="E79" s="4" t="n">
        <v>258855</v>
      </c>
      <c r="F79" s="2" t="inlineStr">
        <is>
          <t>Online Transfer</t>
        </is>
      </c>
      <c r="G79" s="2" t="inlineStr">
        <is>
          <t>Omer Saleem (CFO)</t>
        </is>
      </c>
      <c r="H79" s="2" t="inlineStr">
        <is>
          <t>Audit &amp; Legal</t>
        </is>
      </c>
      <c r="I79" s="2" t="inlineStr">
        <is>
          <t>INV-74454</t>
        </is>
      </c>
      <c r="J79" s="2" t="n"/>
      <c r="K79" s="2" t="inlineStr">
        <is>
          <t>Under Review</t>
        </is>
      </c>
      <c r="M79">
        <f>COUNTIFS($C$3:$C$500,C79,$E$3:$E$500,E79)</f>
        <v/>
      </c>
    </row>
    <row r="80">
      <c r="A80" s="5" t="inlineStr">
        <is>
          <t>TXN0078</t>
        </is>
      </c>
      <c r="B80" s="6" t="n">
        <v>45671</v>
      </c>
      <c r="C80" s="5" t="inlineStr">
        <is>
          <t>Singer Pakistan</t>
        </is>
      </c>
      <c r="D80" s="5" t="inlineStr">
        <is>
          <t>Customer Experience</t>
        </is>
      </c>
      <c r="E80" s="7" t="n">
        <v>18845</v>
      </c>
      <c r="F80" s="5" t="inlineStr">
        <is>
          <t>Bank Transfer</t>
        </is>
      </c>
      <c r="G80" s="5" t="inlineStr">
        <is>
          <t>Bilal Khan (Head Ops)</t>
        </is>
      </c>
      <c r="H80" s="5" t="inlineStr">
        <is>
          <t>Office Supplies</t>
        </is>
      </c>
      <c r="I80" s="5" t="inlineStr">
        <is>
          <t>INV-42530</t>
        </is>
      </c>
      <c r="J80" s="5" t="n"/>
      <c r="K80" s="5" t="inlineStr">
        <is>
          <t>Pending</t>
        </is>
      </c>
      <c r="M80">
        <f>COUNTIFS($C$3:$C$500,C80,$E$3:$E$500,E80)</f>
        <v/>
      </c>
    </row>
    <row r="81">
      <c r="A81" s="2" t="inlineStr">
        <is>
          <t>TXN0079</t>
        </is>
      </c>
      <c r="B81" s="3" t="n">
        <v>45609</v>
      </c>
      <c r="C81" s="2" t="inlineStr">
        <is>
          <t>TCS Couriers</t>
        </is>
      </c>
      <c r="D81" s="2" t="inlineStr">
        <is>
          <t>Marketing</t>
        </is>
      </c>
      <c r="E81" s="4" t="n">
        <v>32198</v>
      </c>
      <c r="F81" s="2" t="inlineStr">
        <is>
          <t>Online Transfer</t>
        </is>
      </c>
      <c r="G81" s="2" t="inlineStr">
        <is>
          <t>Bilal Khan (Head Ops)</t>
        </is>
      </c>
      <c r="H81" s="2" t="inlineStr">
        <is>
          <t>Courier &amp; Logistics</t>
        </is>
      </c>
      <c r="I81" s="2" t="inlineStr">
        <is>
          <t>INV-50026</t>
        </is>
      </c>
      <c r="J81" s="2" t="n"/>
      <c r="K81" s="2" t="inlineStr">
        <is>
          <t>Under Review</t>
        </is>
      </c>
      <c r="M81">
        <f>COUNTIFS($C$3:$C$500,C81,$E$3:$E$500,E81)</f>
        <v/>
      </c>
    </row>
    <row r="82">
      <c r="A82" s="5" t="inlineStr">
        <is>
          <t>TXN0080</t>
        </is>
      </c>
      <c r="B82" s="6" t="n">
        <v>45518</v>
      </c>
      <c r="C82" s="5" t="inlineStr">
        <is>
          <t>Microsoft Pakistan</t>
        </is>
      </c>
      <c r="D82" s="5" t="inlineStr">
        <is>
          <t>Finance &amp; Accounts</t>
        </is>
      </c>
      <c r="E82" s="7" t="n">
        <v>810204</v>
      </c>
      <c r="F82" s="5" t="inlineStr">
        <is>
          <t>Bank Transfer</t>
        </is>
      </c>
      <c r="G82" s="5" t="inlineStr">
        <is>
          <t>Omer Saleem (CFO)</t>
        </is>
      </c>
      <c r="H82" s="5" t="inlineStr">
        <is>
          <t>Software License</t>
        </is>
      </c>
      <c r="I82" s="5" t="inlineStr">
        <is>
          <t>INV-41439</t>
        </is>
      </c>
      <c r="J82" s="5" t="n"/>
      <c r="K82" s="5" t="inlineStr">
        <is>
          <t>Pending</t>
        </is>
      </c>
      <c r="M82">
        <f>COUNTIFS($C$3:$C$500,C82,$E$3:$E$500,E82)</f>
        <v/>
      </c>
    </row>
    <row r="83">
      <c r="A83" s="2" t="inlineStr">
        <is>
          <t>TXN0081</t>
        </is>
      </c>
      <c r="B83" s="3" t="n">
        <v>45735</v>
      </c>
      <c r="C83" s="2" t="inlineStr">
        <is>
          <t>IBM Pakistan</t>
        </is>
      </c>
      <c r="D83" s="2" t="inlineStr">
        <is>
          <t>Technology</t>
        </is>
      </c>
      <c r="E83" s="4" t="n">
        <v>130345</v>
      </c>
      <c r="F83" s="2" t="inlineStr">
        <is>
          <t>RTGS</t>
        </is>
      </c>
      <c r="G83" s="2" t="inlineStr">
        <is>
          <t>Zara Malik (CFO Office)</t>
        </is>
      </c>
      <c r="H83" s="2" t="inlineStr">
        <is>
          <t>IT Services</t>
        </is>
      </c>
      <c r="I83" s="2" t="inlineStr">
        <is>
          <t>INV-14278</t>
        </is>
      </c>
      <c r="J83" s="2" t="n"/>
      <c r="K83" s="2" t="inlineStr">
        <is>
          <t>Processed</t>
        </is>
      </c>
      <c r="M83">
        <f>COUNTIFS($C$3:$C$500,C83,$E$3:$E$500,E83)</f>
        <v/>
      </c>
    </row>
    <row r="84">
      <c r="A84" s="5" t="inlineStr">
        <is>
          <t>TXN0082</t>
        </is>
      </c>
      <c r="B84" s="6" t="n">
        <v>45734</v>
      </c>
      <c r="C84" s="5" t="inlineStr">
        <is>
          <t>Meezan Bank Ltd</t>
        </is>
      </c>
      <c r="D84" s="5" t="inlineStr">
        <is>
          <t>Risk Management</t>
        </is>
      </c>
      <c r="E84" s="7" t="n">
        <v>86523</v>
      </c>
      <c r="F84" s="5" t="inlineStr">
        <is>
          <t>RTGS</t>
        </is>
      </c>
      <c r="G84" s="5" t="inlineStr">
        <is>
          <t>Sara Ahmed (VP Finance)</t>
        </is>
      </c>
      <c r="H84" s="5" t="inlineStr">
        <is>
          <t>Banking Services</t>
        </is>
      </c>
      <c r="I84" s="5" t="inlineStr">
        <is>
          <t>INV-91927</t>
        </is>
      </c>
      <c r="J84" s="5" t="n"/>
      <c r="K84" s="5" t="inlineStr">
        <is>
          <t>Processed</t>
        </is>
      </c>
      <c r="M84">
        <f>COUNTIFS($C$3:$C$500,C84,$E$3:$E$500,E84)</f>
        <v/>
      </c>
    </row>
    <row r="85">
      <c r="A85" s="2" t="inlineStr">
        <is>
          <t>TXN0083</t>
        </is>
      </c>
      <c r="B85" s="3" t="n">
        <v>45519</v>
      </c>
      <c r="C85" s="2" t="inlineStr">
        <is>
          <t>Cisco Systems Pakistan</t>
        </is>
      </c>
      <c r="D85" s="2" t="inlineStr">
        <is>
          <t>Compliance</t>
        </is>
      </c>
      <c r="E85" s="4" t="n">
        <v>319017</v>
      </c>
      <c r="F85" s="2" t="inlineStr">
        <is>
          <t>Bank Transfer</t>
        </is>
      </c>
      <c r="G85" s="2" t="inlineStr">
        <is>
          <t>Omer Saleem (CFO)</t>
        </is>
      </c>
      <c r="H85" s="2" t="inlineStr">
        <is>
          <t>Hardware</t>
        </is>
      </c>
      <c r="I85" s="2" t="inlineStr">
        <is>
          <t>INV-17816</t>
        </is>
      </c>
      <c r="J85" s="2" t="n"/>
      <c r="K85" s="2" t="inlineStr">
        <is>
          <t>Processed</t>
        </is>
      </c>
      <c r="M85">
        <f>COUNTIFS($C$3:$C$500,C85,$E$3:$E$500,E85)</f>
        <v/>
      </c>
    </row>
    <row r="86">
      <c r="A86" s="5" t="inlineStr">
        <is>
          <t>TXN0084</t>
        </is>
      </c>
      <c r="B86" s="6" t="n">
        <v>45607</v>
      </c>
      <c r="C86" s="5" t="inlineStr">
        <is>
          <t>Hafeez Centre Dealers</t>
        </is>
      </c>
      <c r="D86" s="5" t="inlineStr">
        <is>
          <t>Risk Management</t>
        </is>
      </c>
      <c r="E86" s="7" t="n">
        <v>682431</v>
      </c>
      <c r="F86" s="5" t="inlineStr">
        <is>
          <t>Cheque</t>
        </is>
      </c>
      <c r="G86" s="5" t="inlineStr">
        <is>
          <t>Omer Saleem (CFO)</t>
        </is>
      </c>
      <c r="H86" s="5" t="inlineStr">
        <is>
          <t>Hardware</t>
        </is>
      </c>
      <c r="I86" s="5" t="inlineStr">
        <is>
          <t>INV-49857</t>
        </is>
      </c>
      <c r="J86" s="5" t="inlineStr">
        <is>
          <t>Pre-approved</t>
        </is>
      </c>
      <c r="K86" s="5" t="inlineStr">
        <is>
          <t>Processed</t>
        </is>
      </c>
      <c r="M86">
        <f>COUNTIFS($C$3:$C$500,C86,$E$3:$E$500,E86)</f>
        <v/>
      </c>
    </row>
    <row r="87">
      <c r="A87" s="2" t="inlineStr">
        <is>
          <t>TXN0085</t>
        </is>
      </c>
      <c r="B87" s="3" t="n">
        <v>45604</v>
      </c>
      <c r="C87" s="2" t="inlineStr">
        <is>
          <t>Pearl Continental Karachi</t>
        </is>
      </c>
      <c r="D87" s="2" t="inlineStr">
        <is>
          <t>Compliance</t>
        </is>
      </c>
      <c r="E87" s="4" t="n">
        <v>172464</v>
      </c>
      <c r="F87" s="2" t="inlineStr">
        <is>
          <t>RTGS</t>
        </is>
      </c>
      <c r="G87" s="2" t="inlineStr">
        <is>
          <t>Zara Malik (CFO Office)</t>
        </is>
      </c>
      <c r="H87" s="2" t="inlineStr">
        <is>
          <t>Travel &amp; Accommodation</t>
        </is>
      </c>
      <c r="I87" s="2" t="inlineStr">
        <is>
          <t>INV-13390</t>
        </is>
      </c>
      <c r="J87" s="2" t="n"/>
      <c r="K87" s="2" t="inlineStr">
        <is>
          <t>Processed</t>
        </is>
      </c>
      <c r="M87">
        <f>COUNTIFS($C$3:$C$500,C87,$E$3:$E$500,E87)</f>
        <v/>
      </c>
    </row>
    <row r="88">
      <c r="A88" s="5" t="inlineStr">
        <is>
          <t>TXN0086</t>
        </is>
      </c>
      <c r="B88" s="6" t="n">
        <v>45678</v>
      </c>
      <c r="C88" s="5" t="inlineStr">
        <is>
          <t>Al-Fatah Electronics</t>
        </is>
      </c>
      <c r="D88" s="5" t="inlineStr">
        <is>
          <t>Marketing</t>
        </is>
      </c>
      <c r="E88" s="7" t="n">
        <v>18621</v>
      </c>
      <c r="F88" s="5" t="inlineStr">
        <is>
          <t>Bank Transfer</t>
        </is>
      </c>
      <c r="G88" s="5" t="inlineStr">
        <is>
          <t>Usman Tariq (Finance Manager)</t>
        </is>
      </c>
      <c r="H88" s="5" t="inlineStr">
        <is>
          <t>Office Supplies</t>
        </is>
      </c>
      <c r="I88" s="5" t="inlineStr">
        <is>
          <t>INV-71669</t>
        </is>
      </c>
      <c r="J88" s="5" t="inlineStr">
        <is>
          <t>Urgent</t>
        </is>
      </c>
      <c r="K88" s="5" t="inlineStr">
        <is>
          <t>Processed</t>
        </is>
      </c>
      <c r="M88">
        <f>COUNTIFS($C$3:$C$500,C88,$E$3:$E$500,E88)</f>
        <v/>
      </c>
    </row>
    <row r="89">
      <c r="A89" s="2" t="inlineStr">
        <is>
          <t>TXN0087</t>
        </is>
      </c>
      <c r="B89" s="3" t="n">
        <v>45708</v>
      </c>
      <c r="C89" s="2" t="inlineStr">
        <is>
          <t>HBL Corporate</t>
        </is>
      </c>
      <c r="D89" s="2" t="inlineStr">
        <is>
          <t>Technology</t>
        </is>
      </c>
      <c r="E89" s="4" t="n">
        <v>109708</v>
      </c>
      <c r="F89" s="2" t="inlineStr">
        <is>
          <t>Bank Transfer</t>
        </is>
      </c>
      <c r="G89" s="2" t="inlineStr">
        <is>
          <t>Zara Malik (CFO Office)</t>
        </is>
      </c>
      <c r="H89" s="2" t="inlineStr">
        <is>
          <t>Banking Services</t>
        </is>
      </c>
      <c r="I89" s="2" t="inlineStr">
        <is>
          <t>INV-71605</t>
        </is>
      </c>
      <c r="J89" s="2" t="inlineStr">
        <is>
          <t>Recurring</t>
        </is>
      </c>
      <c r="K89" s="2" t="inlineStr">
        <is>
          <t>Processed</t>
        </is>
      </c>
      <c r="M89">
        <f>COUNTIFS($C$3:$C$500,C89,$E$3:$E$500,E89)</f>
        <v/>
      </c>
    </row>
    <row r="90">
      <c r="A90" s="5" t="inlineStr">
        <is>
          <t>TXN0088</t>
        </is>
      </c>
      <c r="B90" s="6" t="n">
        <v>45551</v>
      </c>
      <c r="C90" s="5" t="inlineStr">
        <is>
          <t>KPMG Taseer Hadi</t>
        </is>
      </c>
      <c r="D90" s="5" t="inlineStr">
        <is>
          <t>Operations</t>
        </is>
      </c>
      <c r="E90" s="7" t="n">
        <v>905245</v>
      </c>
      <c r="F90" s="5" t="inlineStr">
        <is>
          <t>Cheque</t>
        </is>
      </c>
      <c r="G90" s="5" t="inlineStr">
        <is>
          <t>Omer Saleem (CFO)</t>
        </is>
      </c>
      <c r="H90" s="5" t="inlineStr">
        <is>
          <t>Audit &amp; Legal</t>
        </is>
      </c>
      <c r="I90" s="5" t="inlineStr">
        <is>
          <t>INV-47777</t>
        </is>
      </c>
      <c r="J90" s="5" t="inlineStr">
        <is>
          <t>Pre-approved</t>
        </is>
      </c>
      <c r="K90" s="5" t="inlineStr">
        <is>
          <t>Pending</t>
        </is>
      </c>
      <c r="M90">
        <f>COUNTIFS($C$3:$C$500,C90,$E$3:$E$500,E90)</f>
        <v/>
      </c>
    </row>
    <row r="91">
      <c r="A91" s="2" t="inlineStr">
        <is>
          <t>TXN0089</t>
        </is>
      </c>
      <c r="B91" s="3" t="n">
        <v>45512</v>
      </c>
      <c r="C91" s="2" t="inlineStr">
        <is>
          <t>TechAccess Pakistan</t>
        </is>
      </c>
      <c r="D91" s="2" t="inlineStr">
        <is>
          <t>HR &amp; Admin</t>
        </is>
      </c>
      <c r="E91" s="4" t="n">
        <v>178337</v>
      </c>
      <c r="F91" s="2" t="inlineStr">
        <is>
          <t>Bank Transfer</t>
        </is>
      </c>
      <c r="G91" s="2" t="inlineStr">
        <is>
          <t>Zara Malik (CFO Office)</t>
        </is>
      </c>
      <c r="H91" s="2" t="inlineStr">
        <is>
          <t>Hardware</t>
        </is>
      </c>
      <c r="I91" s="2" t="inlineStr">
        <is>
          <t>INV-62976</t>
        </is>
      </c>
      <c r="J91" s="2" t="inlineStr">
        <is>
          <t>Urgent</t>
        </is>
      </c>
      <c r="K91" s="2" t="inlineStr">
        <is>
          <t>Processed</t>
        </is>
      </c>
      <c r="M91">
        <f>COUNTIFS($C$3:$C$500,C91,$E$3:$E$500,E91)</f>
        <v/>
      </c>
    </row>
    <row r="92">
      <c r="A92" s="5" t="inlineStr">
        <is>
          <t>TXN0090</t>
        </is>
      </c>
      <c r="B92" s="6" t="n">
        <v>45568</v>
      </c>
      <c r="C92" s="5" t="inlineStr">
        <is>
          <t>Nestle Pakistan</t>
        </is>
      </c>
      <c r="D92" s="5" t="inlineStr">
        <is>
          <t>Compliance</t>
        </is>
      </c>
      <c r="E92" s="7" t="n">
        <v>49893</v>
      </c>
      <c r="F92" s="5" t="inlineStr">
        <is>
          <t>Cheque</t>
        </is>
      </c>
      <c r="G92" s="5" t="inlineStr">
        <is>
          <t>Bilal Khan (Head Ops)</t>
        </is>
      </c>
      <c r="H92" s="5" t="inlineStr">
        <is>
          <t>Office Supplies</t>
        </is>
      </c>
      <c r="I92" s="5" t="inlineStr">
        <is>
          <t>INV-16764</t>
        </is>
      </c>
      <c r="J92" s="5" t="n"/>
      <c r="K92" s="5" t="inlineStr">
        <is>
          <t>Processed</t>
        </is>
      </c>
      <c r="M92">
        <f>COUNTIFS($C$3:$C$500,C92,$E$3:$E$500,E92)</f>
        <v/>
      </c>
    </row>
    <row r="93">
      <c r="A93" s="2" t="inlineStr">
        <is>
          <t>TXN0091</t>
        </is>
      </c>
      <c r="B93" s="3" t="n">
        <v>45740</v>
      </c>
      <c r="C93" s="2" t="inlineStr">
        <is>
          <t>Avari Towers</t>
        </is>
      </c>
      <c r="D93" s="2" t="inlineStr">
        <is>
          <t>Technology</t>
        </is>
      </c>
      <c r="E93" s="4" t="n">
        <v>118530</v>
      </c>
      <c r="F93" s="2" t="inlineStr">
        <is>
          <t>Bank Transfer</t>
        </is>
      </c>
      <c r="G93" s="2" t="inlineStr">
        <is>
          <t>Zara Malik (CFO Office)</t>
        </is>
      </c>
      <c r="H93" s="2" t="inlineStr">
        <is>
          <t>Travel &amp; Accommodation</t>
        </is>
      </c>
      <c r="I93" s="2" t="inlineStr">
        <is>
          <t>INV-13783</t>
        </is>
      </c>
      <c r="J93" s="2" t="n"/>
      <c r="K93" s="2" t="inlineStr">
        <is>
          <t>Processed</t>
        </is>
      </c>
      <c r="M93">
        <f>COUNTIFS($C$3:$C$500,C93,$E$3:$E$500,E93)</f>
        <v/>
      </c>
    </row>
    <row r="94">
      <c r="A94" s="5" t="inlineStr">
        <is>
          <t>TXN0092</t>
        </is>
      </c>
      <c r="B94" s="6" t="n">
        <v>45498</v>
      </c>
      <c r="C94" s="5" t="inlineStr">
        <is>
          <t>UBL Corporate</t>
        </is>
      </c>
      <c r="D94" s="5" t="inlineStr">
        <is>
          <t>Compliance</t>
        </is>
      </c>
      <c r="E94" s="7" t="n">
        <v>34323</v>
      </c>
      <c r="F94" s="5" t="inlineStr">
        <is>
          <t>Cheque</t>
        </is>
      </c>
      <c r="G94" s="5" t="inlineStr">
        <is>
          <t>Usman Tariq (Finance Manager)</t>
        </is>
      </c>
      <c r="H94" s="5" t="inlineStr">
        <is>
          <t>Banking Services</t>
        </is>
      </c>
      <c r="I94" s="5" t="inlineStr">
        <is>
          <t>INV-25396</t>
        </is>
      </c>
      <c r="J94" s="5" t="n"/>
      <c r="K94" s="5" t="inlineStr">
        <is>
          <t>Processed</t>
        </is>
      </c>
      <c r="M94">
        <f>COUNTIFS($C$3:$C$500,C94,$E$3:$E$500,E94)</f>
        <v/>
      </c>
    </row>
    <row r="95">
      <c r="A95" s="2" t="inlineStr">
        <is>
          <t>TXN0093</t>
        </is>
      </c>
      <c r="B95" s="3" t="n">
        <v>45595</v>
      </c>
      <c r="C95" s="2" t="inlineStr">
        <is>
          <t>Meezan Bank Ltd</t>
        </is>
      </c>
      <c r="D95" s="2" t="inlineStr">
        <is>
          <t>Compliance</t>
        </is>
      </c>
      <c r="E95" s="4" t="n">
        <v>122785</v>
      </c>
      <c r="F95" s="2" t="inlineStr">
        <is>
          <t>Cheque</t>
        </is>
      </c>
      <c r="G95" s="2" t="inlineStr">
        <is>
          <t>Zara Malik (CFO Office)</t>
        </is>
      </c>
      <c r="H95" s="2" t="inlineStr">
        <is>
          <t>Banking Services</t>
        </is>
      </c>
      <c r="I95" s="2" t="inlineStr">
        <is>
          <t>INV-41946</t>
        </is>
      </c>
      <c r="J95" s="2" t="inlineStr">
        <is>
          <t>One-time</t>
        </is>
      </c>
      <c r="K95" s="2" t="inlineStr">
        <is>
          <t>Pending</t>
        </is>
      </c>
      <c r="M95">
        <f>COUNTIFS($C$3:$C$500,C95,$E$3:$E$500,E95)</f>
        <v/>
      </c>
    </row>
    <row r="96">
      <c r="A96" s="5" t="inlineStr">
        <is>
          <t>TXN0094</t>
        </is>
      </c>
      <c r="B96" s="6" t="n">
        <v>45418</v>
      </c>
      <c r="C96" s="5" t="inlineStr">
        <is>
          <t>Zones Pakistan Pvt Ltd</t>
        </is>
      </c>
      <c r="D96" s="5" t="inlineStr">
        <is>
          <t>Operations</t>
        </is>
      </c>
      <c r="E96" s="7" t="n">
        <v>289043</v>
      </c>
      <c r="F96" s="5" t="inlineStr">
        <is>
          <t>Online Transfer</t>
        </is>
      </c>
      <c r="G96" s="5" t="inlineStr">
        <is>
          <t>Omer Saleem (CFO)</t>
        </is>
      </c>
      <c r="H96" s="5" t="inlineStr">
        <is>
          <t>Hardware</t>
        </is>
      </c>
      <c r="I96" s="5" t="inlineStr">
        <is>
          <t>INV-54548</t>
        </is>
      </c>
      <c r="J96" s="5" t="inlineStr">
        <is>
          <t>Urgent</t>
        </is>
      </c>
      <c r="K96" s="5" t="inlineStr">
        <is>
          <t>Processed</t>
        </is>
      </c>
      <c r="M96">
        <f>COUNTIFS($C$3:$C$500,C96,$E$3:$E$500,E96)</f>
        <v/>
      </c>
    </row>
    <row r="97">
      <c r="A97" s="2" t="inlineStr">
        <is>
          <t>TXN0095</t>
        </is>
      </c>
      <c r="B97" s="3" t="n">
        <v>45611</v>
      </c>
      <c r="C97" s="2" t="inlineStr">
        <is>
          <t>Systems Limited</t>
        </is>
      </c>
      <c r="D97" s="2" t="inlineStr">
        <is>
          <t>Finance &amp; Accounts</t>
        </is>
      </c>
      <c r="E97" s="4" t="n">
        <v>471927</v>
      </c>
      <c r="F97" s="2" t="inlineStr">
        <is>
          <t>Online Transfer</t>
        </is>
      </c>
      <c r="G97" s="2" t="inlineStr">
        <is>
          <t>Omer Saleem (CFO)</t>
        </is>
      </c>
      <c r="H97" s="2" t="inlineStr">
        <is>
          <t>Software License</t>
        </is>
      </c>
      <c r="I97" s="2" t="inlineStr">
        <is>
          <t>INV-53573</t>
        </is>
      </c>
      <c r="J97" s="2" t="inlineStr">
        <is>
          <t>Urgent</t>
        </is>
      </c>
      <c r="K97" s="2" t="inlineStr">
        <is>
          <t>Pending</t>
        </is>
      </c>
      <c r="M97">
        <f>COUNTIFS($C$3:$C$500,C97,$E$3:$E$500,E97)</f>
        <v/>
      </c>
    </row>
    <row r="98">
      <c r="A98" s="5" t="inlineStr">
        <is>
          <t>TXN0096</t>
        </is>
      </c>
      <c r="B98" s="6" t="n">
        <v>45740</v>
      </c>
      <c r="C98" s="5" t="inlineStr">
        <is>
          <t>Axis Law Chambers</t>
        </is>
      </c>
      <c r="D98" s="5" t="inlineStr">
        <is>
          <t>HR &amp; Admin</t>
        </is>
      </c>
      <c r="E98" s="7" t="n">
        <v>322641</v>
      </c>
      <c r="F98" s="5" t="inlineStr">
        <is>
          <t>Online Transfer</t>
        </is>
      </c>
      <c r="G98" s="5" t="inlineStr">
        <is>
          <t>Omer Saleem (CFO)</t>
        </is>
      </c>
      <c r="H98" s="5" t="inlineStr">
        <is>
          <t>Legal Services</t>
        </is>
      </c>
      <c r="I98" s="5" t="inlineStr">
        <is>
          <t>INV-40613</t>
        </is>
      </c>
      <c r="J98" s="5" t="inlineStr">
        <is>
          <t>Pre-approved</t>
        </is>
      </c>
      <c r="K98" s="5" t="inlineStr">
        <is>
          <t>Processed</t>
        </is>
      </c>
      <c r="M98">
        <f>COUNTIFS($C$3:$C$500,C98,$E$3:$E$500,E98)</f>
        <v/>
      </c>
    </row>
    <row r="99">
      <c r="A99" s="2" t="inlineStr">
        <is>
          <t>TXN0097</t>
        </is>
      </c>
      <c r="B99" s="3" t="n">
        <v>45580</v>
      </c>
      <c r="C99" s="2" t="inlineStr">
        <is>
          <t>Deloitte Pakistan</t>
        </is>
      </c>
      <c r="D99" s="2" t="inlineStr">
        <is>
          <t>Risk Management</t>
        </is>
      </c>
      <c r="E99" s="4" t="n">
        <v>703044</v>
      </c>
      <c r="F99" s="2" t="inlineStr">
        <is>
          <t>Cheque</t>
        </is>
      </c>
      <c r="G99" s="2" t="inlineStr">
        <is>
          <t>Omer Saleem (CFO)</t>
        </is>
      </c>
      <c r="H99" s="2" t="inlineStr">
        <is>
          <t>Audit &amp; Legal</t>
        </is>
      </c>
      <c r="I99" s="2" t="inlineStr">
        <is>
          <t>INV-14852</t>
        </is>
      </c>
      <c r="J99" s="2" t="n"/>
      <c r="K99" s="2" t="inlineStr">
        <is>
          <t>Pending</t>
        </is>
      </c>
      <c r="M99">
        <f>COUNTIFS($C$3:$C$500,C99,$E$3:$E$500,E99)</f>
        <v/>
      </c>
    </row>
    <row r="100">
      <c r="A100" s="5" t="inlineStr">
        <is>
          <t>TXN0098</t>
        </is>
      </c>
      <c r="B100" s="6" t="n">
        <v>45434</v>
      </c>
      <c r="C100" s="5" t="inlineStr">
        <is>
          <t>Metro Cash &amp; Carry</t>
        </is>
      </c>
      <c r="D100" s="5" t="inlineStr">
        <is>
          <t>Operations</t>
        </is>
      </c>
      <c r="E100" s="7" t="n">
        <v>26637</v>
      </c>
      <c r="F100" s="5" t="inlineStr">
        <is>
          <t>Bank Transfer</t>
        </is>
      </c>
      <c r="G100" s="5" t="inlineStr">
        <is>
          <t>Bilal Khan (Head Ops)</t>
        </is>
      </c>
      <c r="H100" s="5" t="inlineStr">
        <is>
          <t>Office Supplies</t>
        </is>
      </c>
      <c r="I100" s="5" t="inlineStr">
        <is>
          <t>INV-28894</t>
        </is>
      </c>
      <c r="J100" s="5" t="inlineStr">
        <is>
          <t>Pre-approved</t>
        </is>
      </c>
      <c r="K100" s="5" t="inlineStr">
        <is>
          <t>Processed</t>
        </is>
      </c>
      <c r="M100">
        <f>COUNTIFS($C$3:$C$500,C100,$E$3:$E$500,E100)</f>
        <v/>
      </c>
    </row>
    <row r="101">
      <c r="A101" s="2" t="inlineStr">
        <is>
          <t>TXN0099</t>
        </is>
      </c>
      <c r="B101" s="3" t="n">
        <v>45702</v>
      </c>
      <c r="C101" s="2" t="inlineStr">
        <is>
          <t>IBM Pakistan</t>
        </is>
      </c>
      <c r="D101" s="2" t="inlineStr">
        <is>
          <t>HR &amp; Admin</t>
        </is>
      </c>
      <c r="E101" s="4" t="n">
        <v>404289</v>
      </c>
      <c r="F101" s="2" t="inlineStr">
        <is>
          <t>Bank Transfer</t>
        </is>
      </c>
      <c r="G101" s="2" t="inlineStr">
        <is>
          <t>Omer Saleem (CFO)</t>
        </is>
      </c>
      <c r="H101" s="2" t="inlineStr">
        <is>
          <t>IT Services</t>
        </is>
      </c>
      <c r="I101" s="2" t="inlineStr">
        <is>
          <t>INV-53065</t>
        </is>
      </c>
      <c r="J101" s="2" t="inlineStr">
        <is>
          <t>Urgent</t>
        </is>
      </c>
      <c r="K101" s="2" t="inlineStr">
        <is>
          <t>Processed</t>
        </is>
      </c>
      <c r="M101">
        <f>COUNTIFS($C$3:$C$500,C101,$E$3:$E$500,E101)</f>
        <v/>
      </c>
    </row>
    <row r="102">
      <c r="A102" s="5" t="inlineStr">
        <is>
          <t>TXN0100</t>
        </is>
      </c>
      <c r="B102" s="6" t="n">
        <v>45401</v>
      </c>
      <c r="C102" s="5" t="inlineStr">
        <is>
          <t>Deloitte Pakistan</t>
        </is>
      </c>
      <c r="D102" s="5" t="inlineStr">
        <is>
          <t>Customer Experience</t>
        </is>
      </c>
      <c r="E102" s="7" t="n">
        <v>721361</v>
      </c>
      <c r="F102" s="5" t="inlineStr">
        <is>
          <t>RTGS</t>
        </is>
      </c>
      <c r="G102" s="5" t="inlineStr">
        <is>
          <t>Omer Saleem (CFO)</t>
        </is>
      </c>
      <c r="H102" s="5" t="inlineStr">
        <is>
          <t>Audit &amp; Legal</t>
        </is>
      </c>
      <c r="I102" s="5" t="inlineStr">
        <is>
          <t>INV-92727</t>
        </is>
      </c>
      <c r="J102" s="5" t="n"/>
      <c r="K102" s="5" t="inlineStr">
        <is>
          <t>Processed</t>
        </is>
      </c>
      <c r="M102">
        <f>COUNTIFS($C$3:$C$500,C102,$E$3:$E$500,E102)</f>
        <v/>
      </c>
    </row>
    <row r="103">
      <c r="A103" s="2" t="inlineStr">
        <is>
          <t>TXN0101</t>
        </is>
      </c>
      <c r="B103" s="3" t="n">
        <v>45610</v>
      </c>
      <c r="C103" s="2" t="inlineStr">
        <is>
          <t>Oracle Pakistan Pvt Ltd</t>
        </is>
      </c>
      <c r="D103" s="2" t="inlineStr">
        <is>
          <t>Operations</t>
        </is>
      </c>
      <c r="E103" s="4" t="n">
        <v>255718</v>
      </c>
      <c r="F103" s="2" t="inlineStr">
        <is>
          <t>RTGS</t>
        </is>
      </c>
      <c r="G103" s="2" t="inlineStr">
        <is>
          <t>Omer Saleem (CFO)</t>
        </is>
      </c>
      <c r="H103" s="2" t="inlineStr">
        <is>
          <t>Software License</t>
        </is>
      </c>
      <c r="I103" s="2" t="inlineStr">
        <is>
          <t>INV-13794</t>
        </is>
      </c>
      <c r="J103" s="2" t="n"/>
      <c r="K103" s="2" t="inlineStr">
        <is>
          <t>Processed</t>
        </is>
      </c>
      <c r="M103">
        <f>COUNTIFS($C$3:$C$500,C103,$E$3:$E$500,E103)</f>
        <v/>
      </c>
    </row>
    <row r="104">
      <c r="A104" s="5" t="inlineStr">
        <is>
          <t>TXN0102</t>
        </is>
      </c>
      <c r="B104" s="6" t="n">
        <v>45603</v>
      </c>
      <c r="C104" s="5" t="inlineStr">
        <is>
          <t>Inbox Business Technologies</t>
        </is>
      </c>
      <c r="D104" s="5" t="inlineStr">
        <is>
          <t>Finance &amp; Accounts</t>
        </is>
      </c>
      <c r="E104" s="7" t="n">
        <v>502864</v>
      </c>
      <c r="F104" s="5" t="inlineStr">
        <is>
          <t>RTGS</t>
        </is>
      </c>
      <c r="G104" s="5" t="inlineStr">
        <is>
          <t>Omer Saleem (CFO)</t>
        </is>
      </c>
      <c r="H104" s="5" t="inlineStr">
        <is>
          <t>IT Services</t>
        </is>
      </c>
      <c r="I104" s="5" t="inlineStr">
        <is>
          <t>INV-79621</t>
        </is>
      </c>
      <c r="J104" s="5" t="inlineStr">
        <is>
          <t>Pre-approved</t>
        </is>
      </c>
      <c r="K104" s="5" t="inlineStr">
        <is>
          <t>Under Review</t>
        </is>
      </c>
      <c r="M104">
        <f>COUNTIFS($C$3:$C$500,C104,$E$3:$E$500,E104)</f>
        <v/>
      </c>
    </row>
    <row r="105">
      <c r="A105" s="2" t="inlineStr">
        <is>
          <t>TXN0103</t>
        </is>
      </c>
      <c r="B105" s="3" t="n">
        <v>45695</v>
      </c>
      <c r="C105" s="2" t="inlineStr">
        <is>
          <t>Telenor Pakistan</t>
        </is>
      </c>
      <c r="D105" s="2" t="inlineStr">
        <is>
          <t>Technology</t>
        </is>
      </c>
      <c r="E105" s="4" t="n">
        <v>40086</v>
      </c>
      <c r="F105" s="2" t="inlineStr">
        <is>
          <t>RTGS</t>
        </is>
      </c>
      <c r="G105" s="2" t="inlineStr">
        <is>
          <t>Bilal Khan (Head Ops)</t>
        </is>
      </c>
      <c r="H105" s="2" t="inlineStr">
        <is>
          <t>Telecom</t>
        </is>
      </c>
      <c r="I105" s="2" t="inlineStr">
        <is>
          <t>INV-75230</t>
        </is>
      </c>
      <c r="J105" s="2" t="n"/>
      <c r="K105" s="2" t="inlineStr">
        <is>
          <t>Processed</t>
        </is>
      </c>
      <c r="M105">
        <f>COUNTIFS($C$3:$C$500,C105,$E$3:$E$500,E105)</f>
        <v/>
      </c>
    </row>
    <row r="106">
      <c r="A106" s="5" t="inlineStr">
        <is>
          <t>TXN0104</t>
        </is>
      </c>
      <c r="B106" s="6" t="n">
        <v>45513</v>
      </c>
      <c r="C106" s="5" t="inlineStr">
        <is>
          <t>FedEx Pakistan</t>
        </is>
      </c>
      <c r="D106" s="5" t="inlineStr">
        <is>
          <t>Customer Experience</t>
        </is>
      </c>
      <c r="E106" s="7" t="n">
        <v>33020</v>
      </c>
      <c r="F106" s="5" t="inlineStr">
        <is>
          <t>Cheque</t>
        </is>
      </c>
      <c r="G106" s="5" t="inlineStr">
        <is>
          <t>Usman Tariq (Finance Manager)</t>
        </is>
      </c>
      <c r="H106" s="5" t="inlineStr">
        <is>
          <t>Courier &amp; Logistics</t>
        </is>
      </c>
      <c r="I106" s="5" t="inlineStr">
        <is>
          <t>INV-47700</t>
        </is>
      </c>
      <c r="J106" s="5" t="inlineStr">
        <is>
          <t>Urgent</t>
        </is>
      </c>
      <c r="K106" s="5" t="inlineStr">
        <is>
          <t>Processed</t>
        </is>
      </c>
      <c r="M106">
        <f>COUNTIFS($C$3:$C$500,C106,$E$3:$E$500,E106)</f>
        <v/>
      </c>
    </row>
    <row r="107">
      <c r="A107" s="2" t="inlineStr">
        <is>
          <t>TXN0105</t>
        </is>
      </c>
      <c r="B107" s="3" t="n">
        <v>45600</v>
      </c>
      <c r="C107" s="2" t="inlineStr">
        <is>
          <t>IBM Pakistan</t>
        </is>
      </c>
      <c r="D107" s="2" t="inlineStr">
        <is>
          <t>HR &amp; Admin</t>
        </is>
      </c>
      <c r="E107" s="4" t="n">
        <v>488099</v>
      </c>
      <c r="F107" s="2" t="inlineStr">
        <is>
          <t>Cheque</t>
        </is>
      </c>
      <c r="G107" s="2" t="inlineStr">
        <is>
          <t>Omer Saleem (CFO)</t>
        </is>
      </c>
      <c r="H107" s="2" t="inlineStr">
        <is>
          <t>IT Services</t>
        </is>
      </c>
      <c r="I107" s="2" t="inlineStr">
        <is>
          <t>INV-49599</t>
        </is>
      </c>
      <c r="J107" s="2" t="n"/>
      <c r="K107" s="2" t="inlineStr">
        <is>
          <t>Processed</t>
        </is>
      </c>
      <c r="M107">
        <f>COUNTIFS($C$3:$C$500,C107,$E$3:$E$500,E107)</f>
        <v/>
      </c>
    </row>
    <row r="108">
      <c r="A108" s="5" t="inlineStr">
        <is>
          <t>TXN0106</t>
        </is>
      </c>
      <c r="B108" s="6" t="n">
        <v>45566</v>
      </c>
      <c r="C108" s="5" t="inlineStr">
        <is>
          <t>National Logistic Cell</t>
        </is>
      </c>
      <c r="D108" s="5" t="inlineStr">
        <is>
          <t>Technology</t>
        </is>
      </c>
      <c r="E108" s="7" t="n">
        <v>30640</v>
      </c>
      <c r="F108" s="5" t="inlineStr">
        <is>
          <t>RTGS</t>
        </is>
      </c>
      <c r="G108" s="5" t="inlineStr">
        <is>
          <t>Bilal Khan (Head Ops)</t>
        </is>
      </c>
      <c r="H108" s="5" t="inlineStr">
        <is>
          <t>Courier &amp; Logistics</t>
        </is>
      </c>
      <c r="I108" s="5" t="inlineStr">
        <is>
          <t>INV-12875</t>
        </is>
      </c>
      <c r="J108" s="5" t="inlineStr">
        <is>
          <t>Pre-approved</t>
        </is>
      </c>
      <c r="K108" s="5" t="inlineStr">
        <is>
          <t>Processed</t>
        </is>
      </c>
      <c r="M108">
        <f>COUNTIFS($C$3:$C$500,C108,$E$3:$E$500,E108)</f>
        <v/>
      </c>
    </row>
    <row r="109">
      <c r="A109" s="2" t="inlineStr">
        <is>
          <t>TXN0107</t>
        </is>
      </c>
      <c r="B109" s="3" t="n">
        <v>45693</v>
      </c>
      <c r="C109" s="2" t="inlineStr">
        <is>
          <t>Systems Limited</t>
        </is>
      </c>
      <c r="D109" s="2" t="inlineStr">
        <is>
          <t>Marketing</t>
        </is>
      </c>
      <c r="E109" s="4" t="n">
        <v>870762</v>
      </c>
      <c r="F109" s="2" t="inlineStr">
        <is>
          <t>RTGS</t>
        </is>
      </c>
      <c r="G109" s="2" t="inlineStr">
        <is>
          <t>Omer Saleem (CFO)</t>
        </is>
      </c>
      <c r="H109" s="2" t="inlineStr">
        <is>
          <t>Software License</t>
        </is>
      </c>
      <c r="I109" s="2" t="inlineStr">
        <is>
          <t>INV-40162</t>
        </is>
      </c>
      <c r="J109" s="2" t="inlineStr">
        <is>
          <t>Recurring</t>
        </is>
      </c>
      <c r="K109" s="2" t="inlineStr">
        <is>
          <t>Processed</t>
        </is>
      </c>
      <c r="M109">
        <f>COUNTIFS($C$3:$C$500,C109,$E$3:$E$500,E109)</f>
        <v/>
      </c>
    </row>
    <row r="110">
      <c r="A110" s="5" t="inlineStr">
        <is>
          <t>TXN0108</t>
        </is>
      </c>
      <c r="B110" s="6" t="n">
        <v>45730</v>
      </c>
      <c r="C110" s="5" t="inlineStr">
        <is>
          <t>Singer Pakistan</t>
        </is>
      </c>
      <c r="D110" s="5" t="inlineStr">
        <is>
          <t>Finance &amp; Accounts</t>
        </is>
      </c>
      <c r="E110" s="7" t="n">
        <v>57643</v>
      </c>
      <c r="F110" s="5" t="inlineStr">
        <is>
          <t>Bank Transfer</t>
        </is>
      </c>
      <c r="G110" s="5" t="inlineStr">
        <is>
          <t>Sara Ahmed (VP Finance)</t>
        </is>
      </c>
      <c r="H110" s="5" t="inlineStr">
        <is>
          <t>Office Supplies</t>
        </is>
      </c>
      <c r="I110" s="5" t="inlineStr">
        <is>
          <t>INV-92242</t>
        </is>
      </c>
      <c r="J110" s="5" t="n"/>
      <c r="K110" s="5" t="inlineStr">
        <is>
          <t>Processed</t>
        </is>
      </c>
      <c r="M110">
        <f>COUNTIFS($C$3:$C$500,C110,$E$3:$E$500,E110)</f>
        <v/>
      </c>
    </row>
    <row r="111">
      <c r="A111" s="2" t="inlineStr">
        <is>
          <t>TXN0109</t>
        </is>
      </c>
      <c r="B111" s="3" t="n">
        <v>45429</v>
      </c>
      <c r="C111" s="2" t="inlineStr">
        <is>
          <t>Leopards Courier</t>
        </is>
      </c>
      <c r="D111" s="2" t="inlineStr">
        <is>
          <t>Technology</t>
        </is>
      </c>
      <c r="E111" s="4" t="n">
        <v>34911</v>
      </c>
      <c r="F111" s="2" t="inlineStr">
        <is>
          <t>Online Transfer</t>
        </is>
      </c>
      <c r="G111" s="2" t="inlineStr">
        <is>
          <t>Bilal Khan (Head Ops)</t>
        </is>
      </c>
      <c r="H111" s="2" t="inlineStr">
        <is>
          <t>Courier &amp; Logistics</t>
        </is>
      </c>
      <c r="I111" s="2" t="inlineStr">
        <is>
          <t>INV-64460</t>
        </is>
      </c>
      <c r="J111" s="2" t="n"/>
      <c r="K111" s="2" t="inlineStr">
        <is>
          <t>Processed</t>
        </is>
      </c>
      <c r="M111">
        <f>COUNTIFS($C$3:$C$500,C111,$E$3:$E$500,E111)</f>
        <v/>
      </c>
    </row>
    <row r="112">
      <c r="A112" s="5" t="inlineStr">
        <is>
          <t>TXN0110</t>
        </is>
      </c>
      <c r="B112" s="6" t="n">
        <v>45639</v>
      </c>
      <c r="C112" s="5" t="inlineStr">
        <is>
          <t>Teradata Pakistan</t>
        </is>
      </c>
      <c r="D112" s="5" t="inlineStr">
        <is>
          <t>Compliance</t>
        </is>
      </c>
      <c r="E112" s="7" t="n">
        <v>513173</v>
      </c>
      <c r="F112" s="5" t="inlineStr">
        <is>
          <t>Bank Transfer</t>
        </is>
      </c>
      <c r="G112" s="5" t="inlineStr">
        <is>
          <t>Omer Saleem (CFO)</t>
        </is>
      </c>
      <c r="H112" s="5" t="inlineStr">
        <is>
          <t>IT Services</t>
        </is>
      </c>
      <c r="I112" s="5" t="inlineStr">
        <is>
          <t>INV-43681</t>
        </is>
      </c>
      <c r="J112" s="5" t="inlineStr">
        <is>
          <t>One-time</t>
        </is>
      </c>
      <c r="K112" s="5" t="inlineStr">
        <is>
          <t>Processed</t>
        </is>
      </c>
      <c r="M112">
        <f>COUNTIFS($C$3:$C$500,C112,$E$3:$E$500,E112)</f>
        <v/>
      </c>
    </row>
    <row r="113">
      <c r="A113" s="2" t="inlineStr">
        <is>
          <t>TXN0111</t>
        </is>
      </c>
      <c r="B113" s="3" t="n">
        <v>45455</v>
      </c>
      <c r="C113" s="2" t="inlineStr">
        <is>
          <t>KPMG Taseer Hadi</t>
        </is>
      </c>
      <c r="D113" s="2" t="inlineStr">
        <is>
          <t>Technology</t>
        </is>
      </c>
      <c r="E113" s="4" t="n">
        <v>693161</v>
      </c>
      <c r="F113" s="2" t="inlineStr">
        <is>
          <t>Online Transfer</t>
        </is>
      </c>
      <c r="G113" s="2" t="inlineStr">
        <is>
          <t>Omer Saleem (CFO)</t>
        </is>
      </c>
      <c r="H113" s="2" t="inlineStr">
        <is>
          <t>Audit &amp; Legal</t>
        </is>
      </c>
      <c r="I113" s="2" t="inlineStr">
        <is>
          <t>INV-83048</t>
        </is>
      </c>
      <c r="J113" s="2" t="inlineStr">
        <is>
          <t>Recurring</t>
        </is>
      </c>
      <c r="K113" s="2" t="inlineStr">
        <is>
          <t>Processed</t>
        </is>
      </c>
      <c r="M113">
        <f>COUNTIFS($C$3:$C$500,C113,$E$3:$E$500,E113)</f>
        <v/>
      </c>
    </row>
    <row r="114">
      <c r="A114" s="5" t="inlineStr">
        <is>
          <t>TXN0112</t>
        </is>
      </c>
      <c r="B114" s="6" t="n">
        <v>45446</v>
      </c>
      <c r="C114" s="5" t="inlineStr">
        <is>
          <t>Haidermota &amp; Co</t>
        </is>
      </c>
      <c r="D114" s="5" t="inlineStr">
        <is>
          <t>Technology</t>
        </is>
      </c>
      <c r="E114" s="7" t="n">
        <v>298290</v>
      </c>
      <c r="F114" s="5" t="inlineStr">
        <is>
          <t>Online Transfer</t>
        </is>
      </c>
      <c r="G114" s="5" t="inlineStr">
        <is>
          <t>Omer Saleem (CFO)</t>
        </is>
      </c>
      <c r="H114" s="5" t="inlineStr">
        <is>
          <t>Legal Services</t>
        </is>
      </c>
      <c r="I114" s="5" t="inlineStr">
        <is>
          <t>INV-98188</t>
        </is>
      </c>
      <c r="J114" s="5" t="n"/>
      <c r="K114" s="5" t="inlineStr">
        <is>
          <t>Under Review</t>
        </is>
      </c>
      <c r="M114">
        <f>COUNTIFS($C$3:$C$500,C114,$E$3:$E$500,E114)</f>
        <v/>
      </c>
    </row>
    <row r="115">
      <c r="A115" s="2" t="inlineStr">
        <is>
          <t>TXN0113</t>
        </is>
      </c>
      <c r="B115" s="3" t="n">
        <v>45728</v>
      </c>
      <c r="C115" s="2" t="inlineStr">
        <is>
          <t>Axis Law Chambers</t>
        </is>
      </c>
      <c r="D115" s="2" t="inlineStr">
        <is>
          <t>Customer Experience</t>
        </is>
      </c>
      <c r="E115" s="4" t="n">
        <v>347381</v>
      </c>
      <c r="F115" s="2" t="inlineStr">
        <is>
          <t>Cheque</t>
        </is>
      </c>
      <c r="G115" s="2" t="inlineStr">
        <is>
          <t>Omer Saleem (CFO)</t>
        </is>
      </c>
      <c r="H115" s="2" t="inlineStr">
        <is>
          <t>Legal Services</t>
        </is>
      </c>
      <c r="I115" s="2" t="inlineStr">
        <is>
          <t>INV-13280</t>
        </is>
      </c>
      <c r="J115" s="2" t="inlineStr">
        <is>
          <t>Urgent</t>
        </is>
      </c>
      <c r="K115" s="2" t="inlineStr">
        <is>
          <t>Processed</t>
        </is>
      </c>
      <c r="M115">
        <f>COUNTIFS($C$3:$C$500,C115,$E$3:$E$500,E115)</f>
        <v/>
      </c>
    </row>
    <row r="116">
      <c r="A116" s="5" t="inlineStr">
        <is>
          <t>TXN0114</t>
        </is>
      </c>
      <c r="B116" s="6" t="n">
        <v>45741</v>
      </c>
      <c r="C116" s="5" t="inlineStr">
        <is>
          <t>Pak Elektron Limited</t>
        </is>
      </c>
      <c r="D116" s="5" t="inlineStr">
        <is>
          <t>Finance &amp; Accounts</t>
        </is>
      </c>
      <c r="E116" s="7" t="n">
        <v>154740</v>
      </c>
      <c r="F116" s="5" t="inlineStr">
        <is>
          <t>Online Transfer</t>
        </is>
      </c>
      <c r="G116" s="5" t="inlineStr">
        <is>
          <t>Zara Malik (CFO Office)</t>
        </is>
      </c>
      <c r="H116" s="5" t="inlineStr">
        <is>
          <t>Hardware</t>
        </is>
      </c>
      <c r="I116" s="5" t="inlineStr">
        <is>
          <t>INV-25292</t>
        </is>
      </c>
      <c r="J116" s="5" t="n"/>
      <c r="K116" s="5" t="inlineStr">
        <is>
          <t>Processed</t>
        </is>
      </c>
      <c r="M116">
        <f>COUNTIFS($C$3:$C$500,C116,$E$3:$E$500,E116)</f>
        <v/>
      </c>
    </row>
    <row r="117">
      <c r="A117" s="2" t="inlineStr">
        <is>
          <t>TXN0115</t>
        </is>
      </c>
      <c r="B117" s="3" t="n">
        <v>45432</v>
      </c>
      <c r="C117" s="2" t="inlineStr">
        <is>
          <t>TechAccess Pakistan</t>
        </is>
      </c>
      <c r="D117" s="2" t="inlineStr">
        <is>
          <t>Finance &amp; Accounts</t>
        </is>
      </c>
      <c r="E117" s="4" t="n">
        <v>599303</v>
      </c>
      <c r="F117" s="2" t="inlineStr">
        <is>
          <t>Bank Transfer</t>
        </is>
      </c>
      <c r="G117" s="2" t="inlineStr">
        <is>
          <t>Omer Saleem (CFO)</t>
        </is>
      </c>
      <c r="H117" s="2" t="inlineStr">
        <is>
          <t>Hardware</t>
        </is>
      </c>
      <c r="I117" s="2" t="inlineStr">
        <is>
          <t>INV-60940</t>
        </is>
      </c>
      <c r="J117" s="2" t="inlineStr">
        <is>
          <t>One-time</t>
        </is>
      </c>
      <c r="K117" s="2" t="inlineStr">
        <is>
          <t>Processed</t>
        </is>
      </c>
      <c r="M117">
        <f>COUNTIFS($C$3:$C$500,C117,$E$3:$E$500,E117)</f>
        <v/>
      </c>
    </row>
    <row r="118">
      <c r="A118" s="5" t="inlineStr">
        <is>
          <t>TXN0116</t>
        </is>
      </c>
      <c r="B118" s="6" t="n">
        <v>45597</v>
      </c>
      <c r="C118" s="5" t="inlineStr">
        <is>
          <t>Nestle Pakistan</t>
        </is>
      </c>
      <c r="D118" s="5" t="inlineStr">
        <is>
          <t>Risk Management</t>
        </is>
      </c>
      <c r="E118" s="7" t="n">
        <v>67341</v>
      </c>
      <c r="F118" s="5" t="inlineStr">
        <is>
          <t>Online Transfer</t>
        </is>
      </c>
      <c r="G118" s="5" t="inlineStr">
        <is>
          <t>Sara Ahmed (VP Finance)</t>
        </is>
      </c>
      <c r="H118" s="5" t="inlineStr">
        <is>
          <t>Office Supplies</t>
        </is>
      </c>
      <c r="I118" s="5" t="inlineStr">
        <is>
          <t>INV-95841</t>
        </is>
      </c>
      <c r="J118" s="5" t="n"/>
      <c r="K118" s="5" t="inlineStr">
        <is>
          <t>Processed</t>
        </is>
      </c>
      <c r="M118">
        <f>COUNTIFS($C$3:$C$500,C118,$E$3:$E$500,E118)</f>
        <v/>
      </c>
    </row>
    <row r="119">
      <c r="A119" s="2" t="inlineStr">
        <is>
          <t>TXN0117</t>
        </is>
      </c>
      <c r="B119" s="3" t="n">
        <v>45736</v>
      </c>
      <c r="C119" s="2" t="inlineStr">
        <is>
          <t>Pak Elektron Limited</t>
        </is>
      </c>
      <c r="D119" s="2" t="inlineStr">
        <is>
          <t>Operations</t>
        </is>
      </c>
      <c r="E119" s="4" t="n">
        <v>374711</v>
      </c>
      <c r="F119" s="2" t="inlineStr">
        <is>
          <t>RTGS</t>
        </is>
      </c>
      <c r="G119" s="2" t="inlineStr">
        <is>
          <t>Omer Saleem (CFO)</t>
        </is>
      </c>
      <c r="H119" s="2" t="inlineStr">
        <is>
          <t>Hardware</t>
        </is>
      </c>
      <c r="I119" s="2" t="inlineStr">
        <is>
          <t>INV-68115</t>
        </is>
      </c>
      <c r="J119" s="2" t="inlineStr">
        <is>
          <t>One-time</t>
        </is>
      </c>
      <c r="K119" s="2" t="inlineStr">
        <is>
          <t>Processed</t>
        </is>
      </c>
      <c r="M119">
        <f>COUNTIFS($C$3:$C$500,C119,$E$3:$E$500,E119)</f>
        <v/>
      </c>
    </row>
    <row r="120">
      <c r="A120" s="5" t="inlineStr">
        <is>
          <t>TXN0118</t>
        </is>
      </c>
      <c r="B120" s="6" t="n">
        <v>45713</v>
      </c>
      <c r="C120" s="5" t="inlineStr">
        <is>
          <t>PwC Pakistan</t>
        </is>
      </c>
      <c r="D120" s="5" t="inlineStr">
        <is>
          <t>Technology</t>
        </is>
      </c>
      <c r="E120" s="7" t="n">
        <v>925852</v>
      </c>
      <c r="F120" s="5" t="inlineStr">
        <is>
          <t>Bank Transfer</t>
        </is>
      </c>
      <c r="G120" s="5" t="inlineStr">
        <is>
          <t>Omer Saleem (CFO)</t>
        </is>
      </c>
      <c r="H120" s="5" t="inlineStr">
        <is>
          <t>Audit &amp; Legal</t>
        </is>
      </c>
      <c r="I120" s="5" t="inlineStr">
        <is>
          <t>INV-62184</t>
        </is>
      </c>
      <c r="J120" s="5" t="n"/>
      <c r="K120" s="5" t="inlineStr">
        <is>
          <t>Processed</t>
        </is>
      </c>
      <c r="M120">
        <f>COUNTIFS($C$3:$C$500,C120,$E$3:$E$500,E120)</f>
        <v/>
      </c>
    </row>
    <row r="121">
      <c r="A121" s="2" t="inlineStr">
        <is>
          <t>TXN0119</t>
        </is>
      </c>
      <c r="B121" s="3" t="n">
        <v>45688</v>
      </c>
      <c r="C121" s="2" t="inlineStr">
        <is>
          <t>Cisco Systems Pakistan</t>
        </is>
      </c>
      <c r="D121" s="2" t="inlineStr">
        <is>
          <t>HR &amp; Admin</t>
        </is>
      </c>
      <c r="E121" s="4" t="n">
        <v>180448</v>
      </c>
      <c r="F121" s="2" t="inlineStr">
        <is>
          <t>Bank Transfer</t>
        </is>
      </c>
      <c r="G121" s="2" t="inlineStr">
        <is>
          <t>Sara Ahmed (VP Finance)</t>
        </is>
      </c>
      <c r="H121" s="2" t="inlineStr">
        <is>
          <t>Hardware</t>
        </is>
      </c>
      <c r="I121" s="2" t="inlineStr">
        <is>
          <t>INV-53713</t>
        </is>
      </c>
      <c r="J121" s="2" t="n"/>
      <c r="K121" s="2" t="inlineStr">
        <is>
          <t>Processed</t>
        </is>
      </c>
      <c r="M121">
        <f>COUNTIFS($C$3:$C$500,C121,$E$3:$E$500,E121)</f>
        <v/>
      </c>
    </row>
    <row r="122">
      <c r="A122" s="5" t="inlineStr">
        <is>
          <t>TXN0120</t>
        </is>
      </c>
      <c r="B122" s="6" t="n">
        <v>45502</v>
      </c>
      <c r="C122" s="5" t="inlineStr">
        <is>
          <t>Al-Fatah Electronics</t>
        </is>
      </c>
      <c r="D122" s="5" t="inlineStr">
        <is>
          <t>Finance &amp; Accounts</t>
        </is>
      </c>
      <c r="E122" s="7" t="n">
        <v>20737</v>
      </c>
      <c r="F122" s="5" t="inlineStr">
        <is>
          <t>Bank Transfer</t>
        </is>
      </c>
      <c r="G122" s="5" t="inlineStr">
        <is>
          <t>Bilal Khan (Head Ops)</t>
        </is>
      </c>
      <c r="H122" s="5" t="inlineStr">
        <is>
          <t>Office Supplies</t>
        </is>
      </c>
      <c r="I122" s="5" t="inlineStr">
        <is>
          <t>INV-88116</t>
        </is>
      </c>
      <c r="J122" s="5" t="n"/>
      <c r="K122" s="5" t="inlineStr">
        <is>
          <t>Processed</t>
        </is>
      </c>
      <c r="M122">
        <f>COUNTIFS($C$3:$C$500,C122,$E$3:$E$500,E122)</f>
        <v/>
      </c>
    </row>
    <row r="123">
      <c r="A123" s="2" t="inlineStr">
        <is>
          <t>TXN0121</t>
        </is>
      </c>
      <c r="B123" s="3" t="n">
        <v>45439</v>
      </c>
      <c r="C123" s="2" t="inlineStr">
        <is>
          <t>Zones Pakistan Pvt Ltd</t>
        </is>
      </c>
      <c r="D123" s="2" t="inlineStr">
        <is>
          <t>Technology</t>
        </is>
      </c>
      <c r="E123" s="4" t="n">
        <v>651409</v>
      </c>
      <c r="F123" s="2" t="inlineStr">
        <is>
          <t>Bank Transfer</t>
        </is>
      </c>
      <c r="G123" s="2" t="inlineStr">
        <is>
          <t>Omer Saleem (CFO)</t>
        </is>
      </c>
      <c r="H123" s="2" t="inlineStr">
        <is>
          <t>Hardware</t>
        </is>
      </c>
      <c r="I123" s="2" t="inlineStr">
        <is>
          <t>INV-11947</t>
        </is>
      </c>
      <c r="J123" s="2" t="inlineStr">
        <is>
          <t>Recurring</t>
        </is>
      </c>
      <c r="K123" s="2" t="inlineStr">
        <is>
          <t>Processed</t>
        </is>
      </c>
      <c r="M123">
        <f>COUNTIFS($C$3:$C$500,C123,$E$3:$E$500,E123)</f>
        <v/>
      </c>
    </row>
    <row r="124" s="23">
      <c r="A124" s="16" t="inlineStr">
        <is>
          <t>TXN0122</t>
        </is>
      </c>
      <c r="B124" s="17" t="n">
        <v>45518</v>
      </c>
      <c r="C124" s="16" t="inlineStr">
        <is>
          <t>Metro Cash &amp; Carry</t>
        </is>
      </c>
      <c r="D124" s="16" t="inlineStr">
        <is>
          <t>Operations</t>
        </is>
      </c>
      <c r="E124" s="18" t="n">
        <v>16735</v>
      </c>
      <c r="F124" s="16" t="inlineStr">
        <is>
          <t>Bank Transfer</t>
        </is>
      </c>
      <c r="G124" s="16" t="inlineStr">
        <is>
          <t>Usman Tariq (Finance Manager)</t>
        </is>
      </c>
      <c r="H124" s="16" t="inlineStr">
        <is>
          <t>Office Supplies</t>
        </is>
      </c>
      <c r="I124" s="16" t="inlineStr">
        <is>
          <t>INV-65176</t>
        </is>
      </c>
      <c r="J124" s="16" t="inlineStr">
        <is>
          <t>Urgent</t>
        </is>
      </c>
      <c r="K124" s="16" t="inlineStr">
        <is>
          <t>Processed</t>
        </is>
      </c>
      <c r="L124" s="19" t="n"/>
      <c r="M124" s="19">
        <f>COUNTIFS($C$3:$C$500,C124,$E$3:$E$500,E124)</f>
        <v/>
      </c>
    </row>
    <row r="125">
      <c r="A125" s="2" t="inlineStr">
        <is>
          <t>TXN0123</t>
        </is>
      </c>
      <c r="B125" s="3" t="n">
        <v>45645</v>
      </c>
      <c r="C125" s="2" t="inlineStr">
        <is>
          <t>IBM Pakistan</t>
        </is>
      </c>
      <c r="D125" s="2" t="inlineStr">
        <is>
          <t>HR &amp; Admin</t>
        </is>
      </c>
      <c r="E125" s="4" t="n">
        <v>596828</v>
      </c>
      <c r="F125" s="2" t="inlineStr">
        <is>
          <t>Cheque</t>
        </is>
      </c>
      <c r="G125" s="2" t="inlineStr">
        <is>
          <t>Omer Saleem (CFO)</t>
        </is>
      </c>
      <c r="H125" s="2" t="inlineStr">
        <is>
          <t>IT Services</t>
        </is>
      </c>
      <c r="I125" s="2" t="inlineStr">
        <is>
          <t>INV-76039</t>
        </is>
      </c>
      <c r="J125" s="2" t="n"/>
      <c r="K125" s="2" t="inlineStr">
        <is>
          <t>Under Review</t>
        </is>
      </c>
      <c r="M125">
        <f>COUNTIFS($C$3:$C$500,C125,$E$3:$E$500,E125)</f>
        <v/>
      </c>
    </row>
    <row r="126">
      <c r="A126" s="5" t="inlineStr">
        <is>
          <t>TXN0124</t>
        </is>
      </c>
      <c r="B126" s="6" t="n">
        <v>45617</v>
      </c>
      <c r="C126" s="5" t="inlineStr">
        <is>
          <t>TechAccess Pakistan</t>
        </is>
      </c>
      <c r="D126" s="5" t="inlineStr">
        <is>
          <t>Risk Management</t>
        </is>
      </c>
      <c r="E126" s="7" t="n">
        <v>632569</v>
      </c>
      <c r="F126" s="5" t="inlineStr">
        <is>
          <t>Bank Transfer</t>
        </is>
      </c>
      <c r="G126" s="5" t="inlineStr">
        <is>
          <t>Omer Saleem (CFO)</t>
        </is>
      </c>
      <c r="H126" s="5" t="inlineStr">
        <is>
          <t>Hardware</t>
        </is>
      </c>
      <c r="I126" s="5" t="inlineStr">
        <is>
          <t>INV-72781</t>
        </is>
      </c>
      <c r="J126" s="5" t="inlineStr">
        <is>
          <t>Pre-approved</t>
        </is>
      </c>
      <c r="K126" s="5" t="inlineStr">
        <is>
          <t>Processed</t>
        </is>
      </c>
      <c r="M126">
        <f>COUNTIFS($C$3:$C$500,C126,$E$3:$E$500,E126)</f>
        <v/>
      </c>
    </row>
    <row r="127">
      <c r="A127" s="2" t="inlineStr">
        <is>
          <t>TXN0125</t>
        </is>
      </c>
      <c r="B127" s="3" t="n">
        <v>45420</v>
      </c>
      <c r="C127" s="2" t="inlineStr">
        <is>
          <t>Microsoft Pakistan</t>
        </is>
      </c>
      <c r="D127" s="2" t="inlineStr">
        <is>
          <t>HR &amp; Admin</t>
        </is>
      </c>
      <c r="E127" s="4" t="n">
        <v>905120</v>
      </c>
      <c r="F127" s="2" t="inlineStr">
        <is>
          <t>Online Transfer</t>
        </is>
      </c>
      <c r="G127" s="2" t="inlineStr">
        <is>
          <t>Omer Saleem (CFO)</t>
        </is>
      </c>
      <c r="H127" s="2" t="inlineStr">
        <is>
          <t>Software License</t>
        </is>
      </c>
      <c r="I127" s="2" t="inlineStr">
        <is>
          <t>INV-89730</t>
        </is>
      </c>
      <c r="J127" s="2" t="n"/>
      <c r="K127" s="2" t="inlineStr">
        <is>
          <t>Processed</t>
        </is>
      </c>
      <c r="M127">
        <f>COUNTIFS($C$3:$C$500,C127,$E$3:$E$500,E127)</f>
        <v/>
      </c>
    </row>
    <row r="128">
      <c r="A128" s="5" t="inlineStr">
        <is>
          <t>TXN0126</t>
        </is>
      </c>
      <c r="B128" s="6" t="n">
        <v>45747</v>
      </c>
      <c r="C128" s="5" t="inlineStr">
        <is>
          <t>Teradata Pakistan</t>
        </is>
      </c>
      <c r="D128" s="5" t="inlineStr">
        <is>
          <t>Finance &amp; Accounts</t>
        </is>
      </c>
      <c r="E128" s="7" t="n">
        <v>784475</v>
      </c>
      <c r="F128" s="5" t="inlineStr">
        <is>
          <t>Online Transfer</t>
        </is>
      </c>
      <c r="G128" s="5" t="inlineStr">
        <is>
          <t>Omer Saleem (CFO)</t>
        </is>
      </c>
      <c r="H128" s="5" t="inlineStr">
        <is>
          <t>IT Services</t>
        </is>
      </c>
      <c r="I128" s="5" t="inlineStr">
        <is>
          <t>INV-88301</t>
        </is>
      </c>
      <c r="J128" s="5" t="inlineStr">
        <is>
          <t>Urgent</t>
        </is>
      </c>
      <c r="K128" s="5" t="inlineStr">
        <is>
          <t>Processed</t>
        </is>
      </c>
      <c r="M128">
        <f>COUNTIFS($C$3:$C$500,C128,$E$3:$E$500,E128)</f>
        <v/>
      </c>
    </row>
    <row r="129">
      <c r="A129" s="2" t="inlineStr">
        <is>
          <t>TXN0127</t>
        </is>
      </c>
      <c r="B129" s="3" t="n">
        <v>45742</v>
      </c>
      <c r="C129" s="2" t="inlineStr">
        <is>
          <t>FedEx Pakistan</t>
        </is>
      </c>
      <c r="D129" s="2" t="inlineStr">
        <is>
          <t>Compliance</t>
        </is>
      </c>
      <c r="E129" s="4" t="n">
        <v>38664</v>
      </c>
      <c r="F129" s="2" t="inlineStr">
        <is>
          <t>RTGS</t>
        </is>
      </c>
      <c r="G129" s="2" t="inlineStr">
        <is>
          <t>Usman Tariq (Finance Manager)</t>
        </is>
      </c>
      <c r="H129" s="2" t="inlineStr">
        <is>
          <t>Courier &amp; Logistics</t>
        </is>
      </c>
      <c r="I129" s="2" t="inlineStr">
        <is>
          <t>INV-66370</t>
        </is>
      </c>
      <c r="J129" s="2" t="inlineStr">
        <is>
          <t>One-time</t>
        </is>
      </c>
      <c r="K129" s="2" t="inlineStr">
        <is>
          <t>Processed</t>
        </is>
      </c>
      <c r="M129">
        <f>COUNTIFS($C$3:$C$500,C129,$E$3:$E$500,E129)</f>
        <v/>
      </c>
    </row>
    <row r="130">
      <c r="A130" s="5" t="inlineStr">
        <is>
          <t>TXN0128</t>
        </is>
      </c>
      <c r="B130" s="6" t="n">
        <v>45595</v>
      </c>
      <c r="C130" s="5" t="inlineStr">
        <is>
          <t>TCS Couriers</t>
        </is>
      </c>
      <c r="D130" s="5" t="inlineStr">
        <is>
          <t>Operations</t>
        </is>
      </c>
      <c r="E130" s="7" t="n">
        <v>45099</v>
      </c>
      <c r="F130" s="5" t="inlineStr">
        <is>
          <t>Online Transfer</t>
        </is>
      </c>
      <c r="G130" s="5" t="inlineStr">
        <is>
          <t>Usman Tariq (Finance Manager)</t>
        </is>
      </c>
      <c r="H130" s="5" t="inlineStr">
        <is>
          <t>Courier &amp; Logistics</t>
        </is>
      </c>
      <c r="I130" s="5" t="inlineStr">
        <is>
          <t>INV-65936</t>
        </is>
      </c>
      <c r="J130" s="5" t="inlineStr">
        <is>
          <t>Recurring</t>
        </is>
      </c>
      <c r="K130" s="5" t="inlineStr">
        <is>
          <t>Processed</t>
        </is>
      </c>
      <c r="M130">
        <f>COUNTIFS($C$3:$C$500,C130,$E$3:$E$500,E130)</f>
        <v/>
      </c>
    </row>
    <row r="131">
      <c r="A131" s="2" t="inlineStr">
        <is>
          <t>TXN0129</t>
        </is>
      </c>
      <c r="B131" s="3" t="n">
        <v>45429</v>
      </c>
      <c r="C131" s="2" t="inlineStr">
        <is>
          <t>PwC Pakistan</t>
        </is>
      </c>
      <c r="D131" s="2" t="inlineStr">
        <is>
          <t>Technology</t>
        </is>
      </c>
      <c r="E131" s="4" t="n">
        <v>928801</v>
      </c>
      <c r="F131" s="2" t="inlineStr">
        <is>
          <t>Bank Transfer</t>
        </is>
      </c>
      <c r="G131" s="2" t="inlineStr">
        <is>
          <t>Omer Saleem (CFO)</t>
        </is>
      </c>
      <c r="H131" s="2" t="inlineStr">
        <is>
          <t>Audit &amp; Legal</t>
        </is>
      </c>
      <c r="I131" s="2" t="inlineStr">
        <is>
          <t>INV-66606</t>
        </is>
      </c>
      <c r="J131" s="2" t="n"/>
      <c r="K131" s="2" t="inlineStr">
        <is>
          <t>Processed</t>
        </is>
      </c>
      <c r="M131">
        <f>COUNTIFS($C$3:$C$500,C131,$E$3:$E$500,E131)</f>
        <v/>
      </c>
    </row>
    <row r="132">
      <c r="A132" s="5" t="inlineStr">
        <is>
          <t>TXN0130</t>
        </is>
      </c>
      <c r="B132" s="6" t="n">
        <v>45726</v>
      </c>
      <c r="C132" s="5" t="inlineStr">
        <is>
          <t>Teradata Pakistan</t>
        </is>
      </c>
      <c r="D132" s="5" t="inlineStr">
        <is>
          <t>Compliance</t>
        </is>
      </c>
      <c r="E132" s="7" t="n">
        <v>189141</v>
      </c>
      <c r="F132" s="5" t="inlineStr">
        <is>
          <t>Online Transfer</t>
        </is>
      </c>
      <c r="G132" s="5" t="inlineStr">
        <is>
          <t>Sara Ahmed (VP Finance)</t>
        </is>
      </c>
      <c r="H132" s="5" t="inlineStr">
        <is>
          <t>IT Services</t>
        </is>
      </c>
      <c r="I132" s="5" t="inlineStr">
        <is>
          <t>INV-56346</t>
        </is>
      </c>
      <c r="J132" s="5" t="inlineStr">
        <is>
          <t>Pre-approved</t>
        </is>
      </c>
      <c r="K132" s="5" t="inlineStr">
        <is>
          <t>Processed</t>
        </is>
      </c>
      <c r="M132">
        <f>COUNTIFS($C$3:$C$500,C132,$E$3:$E$500,E132)</f>
        <v/>
      </c>
    </row>
    <row r="133">
      <c r="A133" s="2" t="inlineStr">
        <is>
          <t>TXN0131</t>
        </is>
      </c>
      <c r="B133" s="3" t="n">
        <v>45436</v>
      </c>
      <c r="C133" s="2" t="inlineStr">
        <is>
          <t>Meezan Bank Ltd</t>
        </is>
      </c>
      <c r="D133" s="2" t="inlineStr">
        <is>
          <t>Marketing</t>
        </is>
      </c>
      <c r="E133" s="4" t="n">
        <v>72561</v>
      </c>
      <c r="F133" s="2" t="inlineStr">
        <is>
          <t>Bank Transfer</t>
        </is>
      </c>
      <c r="G133" s="2" t="inlineStr">
        <is>
          <t>Sara Ahmed (VP Finance)</t>
        </is>
      </c>
      <c r="H133" s="2" t="inlineStr">
        <is>
          <t>Banking Services</t>
        </is>
      </c>
      <c r="I133" s="2" t="inlineStr">
        <is>
          <t>INV-96079</t>
        </is>
      </c>
      <c r="J133" s="2" t="inlineStr">
        <is>
          <t>One-time</t>
        </is>
      </c>
      <c r="K133" s="2" t="inlineStr">
        <is>
          <t>Processed</t>
        </is>
      </c>
      <c r="M133">
        <f>COUNTIFS($C$3:$C$500,C133,$E$3:$E$500,E133)</f>
        <v/>
      </c>
    </row>
    <row r="134">
      <c r="A134" s="5" t="inlineStr">
        <is>
          <t>TXN0132</t>
        </is>
      </c>
      <c r="B134" s="6" t="n">
        <v>45441</v>
      </c>
      <c r="C134" s="5" t="inlineStr">
        <is>
          <t>Microsoft Pakistan</t>
        </is>
      </c>
      <c r="D134" s="5" t="inlineStr">
        <is>
          <t>Operations</t>
        </is>
      </c>
      <c r="E134" s="7" t="n">
        <v>740155</v>
      </c>
      <c r="F134" s="5" t="inlineStr">
        <is>
          <t>RTGS</t>
        </is>
      </c>
      <c r="G134" s="5" t="inlineStr">
        <is>
          <t>Omer Saleem (CFO)</t>
        </is>
      </c>
      <c r="H134" s="5" t="inlineStr">
        <is>
          <t>Software License</t>
        </is>
      </c>
      <c r="I134" s="5" t="inlineStr">
        <is>
          <t>INV-66244</t>
        </is>
      </c>
      <c r="J134" s="5" t="inlineStr">
        <is>
          <t>Urgent</t>
        </is>
      </c>
      <c r="K134" s="5" t="inlineStr">
        <is>
          <t>Under Review</t>
        </is>
      </c>
      <c r="M134">
        <f>COUNTIFS($C$3:$C$500,C134,$E$3:$E$500,E134)</f>
        <v/>
      </c>
    </row>
    <row r="135">
      <c r="A135" s="2" t="inlineStr">
        <is>
          <t>TXN0133</t>
        </is>
      </c>
      <c r="B135" s="3" t="n">
        <v>45694</v>
      </c>
      <c r="C135" s="2" t="inlineStr">
        <is>
          <t>Pak Elektron Limited</t>
        </is>
      </c>
      <c r="D135" s="2" t="inlineStr">
        <is>
          <t>Customer Experience</t>
        </is>
      </c>
      <c r="E135" s="4" t="n">
        <v>665060</v>
      </c>
      <c r="F135" s="2" t="inlineStr">
        <is>
          <t>Bank Transfer</t>
        </is>
      </c>
      <c r="G135" s="2" t="inlineStr">
        <is>
          <t>Omer Saleem (CFO)</t>
        </is>
      </c>
      <c r="H135" s="2" t="inlineStr">
        <is>
          <t>Hardware</t>
        </is>
      </c>
      <c r="I135" s="2" t="inlineStr">
        <is>
          <t>INV-33647</t>
        </is>
      </c>
      <c r="J135" s="2" t="n"/>
      <c r="K135" s="2" t="inlineStr">
        <is>
          <t>Processed</t>
        </is>
      </c>
      <c r="M135">
        <f>COUNTIFS($C$3:$C$500,C135,$E$3:$E$500,E135)</f>
        <v/>
      </c>
    </row>
    <row r="136">
      <c r="A136" s="5" t="inlineStr">
        <is>
          <t>TXN0134</t>
        </is>
      </c>
      <c r="B136" s="6" t="n">
        <v>45456</v>
      </c>
      <c r="C136" s="5" t="inlineStr">
        <is>
          <t>KPMG Taseer Hadi</t>
        </is>
      </c>
      <c r="D136" s="5" t="inlineStr">
        <is>
          <t>Operations</t>
        </is>
      </c>
      <c r="E136" s="7" t="n">
        <v>210221</v>
      </c>
      <c r="F136" s="5" t="inlineStr">
        <is>
          <t>Bank Transfer</t>
        </is>
      </c>
      <c r="G136" s="5" t="inlineStr">
        <is>
          <t>Omer Saleem (CFO)</t>
        </is>
      </c>
      <c r="H136" s="5" t="inlineStr">
        <is>
          <t>Audit &amp; Legal</t>
        </is>
      </c>
      <c r="I136" s="5" t="inlineStr">
        <is>
          <t>INV-28595</t>
        </is>
      </c>
      <c r="J136" s="5" t="n"/>
      <c r="K136" s="5" t="inlineStr">
        <is>
          <t>Processed</t>
        </is>
      </c>
      <c r="M136">
        <f>COUNTIFS($C$3:$C$500,C136,$E$3:$E$500,E136)</f>
        <v/>
      </c>
    </row>
    <row r="137">
      <c r="A137" s="2" t="inlineStr">
        <is>
          <t>TXN0135</t>
        </is>
      </c>
      <c r="B137" s="3" t="n">
        <v>45615</v>
      </c>
      <c r="C137" s="2" t="inlineStr">
        <is>
          <t>Marriott Islamabad</t>
        </is>
      </c>
      <c r="D137" s="2" t="inlineStr">
        <is>
          <t>Finance &amp; Accounts</t>
        </is>
      </c>
      <c r="E137" s="4" t="n">
        <v>141342</v>
      </c>
      <c r="F137" s="2" t="inlineStr">
        <is>
          <t>Bank Transfer</t>
        </is>
      </c>
      <c r="G137" s="2" t="inlineStr">
        <is>
          <t>Zara Malik (CFO Office)</t>
        </is>
      </c>
      <c r="H137" s="2" t="inlineStr">
        <is>
          <t>Travel &amp; Accommodation</t>
        </is>
      </c>
      <c r="I137" s="2" t="inlineStr">
        <is>
          <t>INV-58503</t>
        </is>
      </c>
      <c r="J137" s="2" t="n"/>
      <c r="K137" s="2" t="inlineStr">
        <is>
          <t>Processed</t>
        </is>
      </c>
      <c r="M137">
        <f>COUNTIFS($C$3:$C$500,C137,$E$3:$E$500,E137)</f>
        <v/>
      </c>
    </row>
    <row r="138">
      <c r="A138" s="5" t="inlineStr">
        <is>
          <t>TXN0136</t>
        </is>
      </c>
      <c r="B138" s="6" t="n">
        <v>45462</v>
      </c>
      <c r="C138" s="5" t="inlineStr">
        <is>
          <t>Al-Fatah Electronics</t>
        </is>
      </c>
      <c r="D138" s="5" t="inlineStr">
        <is>
          <t>Marketing</t>
        </is>
      </c>
      <c r="E138" s="7" t="n">
        <v>19275</v>
      </c>
      <c r="F138" s="5" t="inlineStr">
        <is>
          <t>Bank Transfer</t>
        </is>
      </c>
      <c r="G138" s="5" t="inlineStr">
        <is>
          <t>Usman Tariq (Finance Manager)</t>
        </is>
      </c>
      <c r="H138" s="5" t="inlineStr">
        <is>
          <t>Office Supplies</t>
        </is>
      </c>
      <c r="I138" s="5" t="inlineStr">
        <is>
          <t>INV-98338</t>
        </is>
      </c>
      <c r="J138" s="5" t="n"/>
      <c r="K138" s="5" t="inlineStr">
        <is>
          <t>Processed</t>
        </is>
      </c>
      <c r="M138">
        <f>COUNTIFS($C$3:$C$500,C138,$E$3:$E$500,E138)</f>
        <v/>
      </c>
    </row>
    <row r="139">
      <c r="A139" s="2" t="inlineStr">
        <is>
          <t>TXN0137</t>
        </is>
      </c>
      <c r="B139" s="3" t="n">
        <v>45693</v>
      </c>
      <c r="C139" s="2" t="inlineStr">
        <is>
          <t>Leopards Courier</t>
        </is>
      </c>
      <c r="D139" s="2" t="inlineStr">
        <is>
          <t>Customer Experience</t>
        </is>
      </c>
      <c r="E139" s="4" t="n">
        <v>44592</v>
      </c>
      <c r="F139" s="2" t="inlineStr">
        <is>
          <t>Online Transfer</t>
        </is>
      </c>
      <c r="G139" s="2" t="inlineStr">
        <is>
          <t>Bilal Khan (Head Ops)</t>
        </is>
      </c>
      <c r="H139" s="2" t="inlineStr">
        <is>
          <t>Courier &amp; Logistics</t>
        </is>
      </c>
      <c r="I139" s="2" t="inlineStr">
        <is>
          <t>INV-45804</t>
        </is>
      </c>
      <c r="J139" s="2" t="n"/>
      <c r="K139" s="2" t="inlineStr">
        <is>
          <t>Pending</t>
        </is>
      </c>
      <c r="M139">
        <f>COUNTIFS($C$3:$C$500,C139,$E$3:$E$500,E139)</f>
        <v/>
      </c>
    </row>
    <row r="140">
      <c r="A140" s="5" t="inlineStr">
        <is>
          <t>TXN0138</t>
        </is>
      </c>
      <c r="B140" s="6" t="n">
        <v>45730</v>
      </c>
      <c r="C140" s="5" t="inlineStr">
        <is>
          <t>Cisco Systems Pakistan</t>
        </is>
      </c>
      <c r="D140" s="5" t="inlineStr">
        <is>
          <t>Operations</t>
        </is>
      </c>
      <c r="E140" s="7" t="n">
        <v>533460</v>
      </c>
      <c r="F140" s="5" t="inlineStr">
        <is>
          <t>RTGS</t>
        </is>
      </c>
      <c r="G140" s="5" t="inlineStr">
        <is>
          <t>Omer Saleem (CFO)</t>
        </is>
      </c>
      <c r="H140" s="5" t="inlineStr">
        <is>
          <t>Hardware</t>
        </is>
      </c>
      <c r="I140" s="5" t="inlineStr">
        <is>
          <t>INV-15952</t>
        </is>
      </c>
      <c r="J140" s="5" t="n"/>
      <c r="K140" s="5" t="inlineStr">
        <is>
          <t>Processed</t>
        </is>
      </c>
      <c r="M140">
        <f>COUNTIFS($C$3:$C$500,C140,$E$3:$E$500,E140)</f>
        <v/>
      </c>
    </row>
    <row r="141">
      <c r="A141" s="2" t="inlineStr">
        <is>
          <t>TXN0139</t>
        </is>
      </c>
      <c r="B141" s="3" t="n">
        <v>45537</v>
      </c>
      <c r="C141" s="2" t="inlineStr">
        <is>
          <t>Hafeez Centre Dealers</t>
        </is>
      </c>
      <c r="D141" s="2" t="inlineStr">
        <is>
          <t>Technology</t>
        </is>
      </c>
      <c r="E141" s="4" t="n">
        <v>92256</v>
      </c>
      <c r="F141" s="2" t="inlineStr">
        <is>
          <t>Bank Transfer</t>
        </is>
      </c>
      <c r="G141" s="2" t="inlineStr">
        <is>
          <t>Sara Ahmed (VP Finance)</t>
        </is>
      </c>
      <c r="H141" s="2" t="inlineStr">
        <is>
          <t>Hardware</t>
        </is>
      </c>
      <c r="I141" s="2" t="inlineStr">
        <is>
          <t>INV-43491</t>
        </is>
      </c>
      <c r="J141" s="2" t="n"/>
      <c r="K141" s="2" t="inlineStr">
        <is>
          <t>Processed</t>
        </is>
      </c>
      <c r="M141">
        <f>COUNTIFS($C$3:$C$500,C141,$E$3:$E$500,E141)</f>
        <v/>
      </c>
    </row>
    <row r="142">
      <c r="A142" s="5" t="inlineStr">
        <is>
          <t>TXN0140</t>
        </is>
      </c>
      <c r="B142" s="6" t="n">
        <v>45449</v>
      </c>
      <c r="C142" s="5" t="inlineStr">
        <is>
          <t>Cisco Systems Pakistan</t>
        </is>
      </c>
      <c r="D142" s="5" t="inlineStr">
        <is>
          <t>Technology</t>
        </is>
      </c>
      <c r="E142" s="7" t="n">
        <v>609448</v>
      </c>
      <c r="F142" s="5" t="inlineStr">
        <is>
          <t>RTGS</t>
        </is>
      </c>
      <c r="G142" s="5" t="inlineStr">
        <is>
          <t>Omer Saleem (CFO)</t>
        </is>
      </c>
      <c r="H142" s="5" t="inlineStr">
        <is>
          <t>Hardware</t>
        </is>
      </c>
      <c r="I142" s="5" t="inlineStr">
        <is>
          <t>INV-75570</t>
        </is>
      </c>
      <c r="J142" s="5" t="inlineStr">
        <is>
          <t>Urgent</t>
        </is>
      </c>
      <c r="K142" s="5" t="inlineStr">
        <is>
          <t>Processed</t>
        </is>
      </c>
      <c r="M142">
        <f>COUNTIFS($C$3:$C$500,C142,$E$3:$E$500,E142)</f>
        <v/>
      </c>
    </row>
    <row r="143">
      <c r="A143" s="2" t="inlineStr">
        <is>
          <t>TXN0141</t>
        </is>
      </c>
      <c r="B143" s="3" t="n">
        <v>45392</v>
      </c>
      <c r="C143" s="2" t="inlineStr">
        <is>
          <t>IBM Pakistan</t>
        </is>
      </c>
      <c r="D143" s="2" t="inlineStr">
        <is>
          <t>Operations</t>
        </is>
      </c>
      <c r="E143" s="4" t="n">
        <v>172351</v>
      </c>
      <c r="F143" s="2" t="inlineStr">
        <is>
          <t>Bank Transfer</t>
        </is>
      </c>
      <c r="G143" s="2" t="inlineStr">
        <is>
          <t>Zara Malik (CFO Office)</t>
        </is>
      </c>
      <c r="H143" s="2" t="inlineStr">
        <is>
          <t>IT Services</t>
        </is>
      </c>
      <c r="I143" s="2" t="inlineStr">
        <is>
          <t>INV-51033</t>
        </is>
      </c>
      <c r="J143" s="2" t="inlineStr">
        <is>
          <t>Pre-approved</t>
        </is>
      </c>
      <c r="K143" s="2" t="inlineStr">
        <is>
          <t>Under Review</t>
        </is>
      </c>
      <c r="M143">
        <f>COUNTIFS($C$3:$C$500,C143,$E$3:$E$500,E143)</f>
        <v/>
      </c>
    </row>
    <row r="144">
      <c r="A144" s="5" t="inlineStr">
        <is>
          <t>TXN0142</t>
        </is>
      </c>
      <c r="B144" s="6" t="n">
        <v>45531</v>
      </c>
      <c r="C144" s="5" t="inlineStr">
        <is>
          <t>Haidermota &amp; Co</t>
        </is>
      </c>
      <c r="D144" s="5" t="inlineStr">
        <is>
          <t>Risk Management</t>
        </is>
      </c>
      <c r="E144" s="7" t="n">
        <v>493308</v>
      </c>
      <c r="F144" s="5" t="inlineStr">
        <is>
          <t>Online Transfer</t>
        </is>
      </c>
      <c r="G144" s="5" t="inlineStr">
        <is>
          <t>Omer Saleem (CFO)</t>
        </is>
      </c>
      <c r="H144" s="5" t="inlineStr">
        <is>
          <t>Legal Services</t>
        </is>
      </c>
      <c r="I144" s="5" t="inlineStr">
        <is>
          <t>INV-12733</t>
        </is>
      </c>
      <c r="J144" s="5" t="inlineStr">
        <is>
          <t>Recurring</t>
        </is>
      </c>
      <c r="K144" s="5" t="inlineStr">
        <is>
          <t>Processed</t>
        </is>
      </c>
      <c r="M144">
        <f>COUNTIFS($C$3:$C$500,C144,$E$3:$E$500,E144)</f>
        <v/>
      </c>
    </row>
    <row r="145">
      <c r="A145" s="2" t="inlineStr">
        <is>
          <t>TXN0143</t>
        </is>
      </c>
      <c r="B145" s="3" t="n">
        <v>45684</v>
      </c>
      <c r="C145" s="2" t="inlineStr">
        <is>
          <t>Pak Elektron Limited</t>
        </is>
      </c>
      <c r="D145" s="2" t="inlineStr">
        <is>
          <t>HR &amp; Admin</t>
        </is>
      </c>
      <c r="E145" s="4" t="n">
        <v>461720</v>
      </c>
      <c r="F145" s="2" t="inlineStr">
        <is>
          <t>Bank Transfer</t>
        </is>
      </c>
      <c r="G145" s="2" t="inlineStr">
        <is>
          <t>Omer Saleem (CFO)</t>
        </is>
      </c>
      <c r="H145" s="2" t="inlineStr">
        <is>
          <t>Hardware</t>
        </is>
      </c>
      <c r="I145" s="2" t="inlineStr">
        <is>
          <t>INV-61873</t>
        </is>
      </c>
      <c r="J145" s="2" t="n"/>
      <c r="K145" s="2" t="inlineStr">
        <is>
          <t>Processed</t>
        </is>
      </c>
      <c r="M145">
        <f>COUNTIFS($C$3:$C$500,C145,$E$3:$E$500,E145)</f>
        <v/>
      </c>
    </row>
    <row r="146">
      <c r="A146" s="5" t="inlineStr">
        <is>
          <t>TXN0144</t>
        </is>
      </c>
      <c r="B146" s="6" t="n">
        <v>45644</v>
      </c>
      <c r="C146" s="5" t="inlineStr">
        <is>
          <t>Ufone Corporate</t>
        </is>
      </c>
      <c r="D146" s="5" t="inlineStr">
        <is>
          <t>Operations</t>
        </is>
      </c>
      <c r="E146" s="7" t="n">
        <v>39135</v>
      </c>
      <c r="F146" s="5" t="inlineStr">
        <is>
          <t>RTGS</t>
        </is>
      </c>
      <c r="G146" s="5" t="inlineStr">
        <is>
          <t>Usman Tariq (Finance Manager)</t>
        </is>
      </c>
      <c r="H146" s="5" t="inlineStr">
        <is>
          <t>Telecom</t>
        </is>
      </c>
      <c r="I146" s="5" t="inlineStr">
        <is>
          <t>INV-55793</t>
        </is>
      </c>
      <c r="J146" s="5" t="inlineStr">
        <is>
          <t>Recurring</t>
        </is>
      </c>
      <c r="K146" s="5" t="inlineStr">
        <is>
          <t>Processed</t>
        </is>
      </c>
      <c r="M146">
        <f>COUNTIFS($C$3:$C$500,C146,$E$3:$E$500,E146)</f>
        <v/>
      </c>
    </row>
    <row r="147">
      <c r="A147" s="2" t="inlineStr">
        <is>
          <t>TXN0145</t>
        </is>
      </c>
      <c r="B147" s="3" t="n">
        <v>45484</v>
      </c>
      <c r="C147" s="2" t="inlineStr">
        <is>
          <t>Allied Bank Limited</t>
        </is>
      </c>
      <c r="D147" s="2" t="inlineStr">
        <is>
          <t>Technology</t>
        </is>
      </c>
      <c r="E147" s="4" t="n">
        <v>49234</v>
      </c>
      <c r="F147" s="2" t="inlineStr">
        <is>
          <t>Bank Transfer</t>
        </is>
      </c>
      <c r="G147" s="2" t="inlineStr">
        <is>
          <t>Usman Tariq (Finance Manager)</t>
        </is>
      </c>
      <c r="H147" s="2" t="inlineStr">
        <is>
          <t>Banking Services</t>
        </is>
      </c>
      <c r="I147" s="2" t="inlineStr">
        <is>
          <t>INV-95918</t>
        </is>
      </c>
      <c r="J147" s="2" t="n"/>
      <c r="K147" s="2" t="inlineStr">
        <is>
          <t>Processed</t>
        </is>
      </c>
      <c r="M147">
        <f>COUNTIFS($C$3:$C$500,C147,$E$3:$E$500,E147)</f>
        <v/>
      </c>
    </row>
    <row r="148">
      <c r="A148" s="5" t="inlineStr">
        <is>
          <t>TXN0146</t>
        </is>
      </c>
      <c r="B148" s="6" t="n">
        <v>45672</v>
      </c>
      <c r="C148" s="5" t="inlineStr">
        <is>
          <t>Singer Pakistan</t>
        </is>
      </c>
      <c r="D148" s="5" t="inlineStr">
        <is>
          <t>HR &amp; Admin</t>
        </is>
      </c>
      <c r="E148" s="7" t="n">
        <v>50606</v>
      </c>
      <c r="F148" s="5" t="inlineStr">
        <is>
          <t>Online Transfer</t>
        </is>
      </c>
      <c r="G148" s="5" t="inlineStr">
        <is>
          <t>Zara Malik (CFO Office)</t>
        </is>
      </c>
      <c r="H148" s="5" t="inlineStr">
        <is>
          <t>Office Supplies</t>
        </is>
      </c>
      <c r="I148" s="5" t="inlineStr">
        <is>
          <t>INV-29786</t>
        </is>
      </c>
      <c r="J148" s="5" t="inlineStr">
        <is>
          <t>One-time</t>
        </is>
      </c>
      <c r="K148" s="5" t="inlineStr">
        <is>
          <t>Processed</t>
        </is>
      </c>
      <c r="M148">
        <f>COUNTIFS($C$3:$C$500,C148,$E$3:$E$500,E148)</f>
        <v/>
      </c>
    </row>
    <row r="149">
      <c r="A149" s="2" t="inlineStr">
        <is>
          <t>TXN0147</t>
        </is>
      </c>
      <c r="B149" s="3" t="n">
        <v>45685</v>
      </c>
      <c r="C149" s="2" t="inlineStr">
        <is>
          <t>National Logistic Cell</t>
        </is>
      </c>
      <c r="D149" s="2" t="inlineStr">
        <is>
          <t>HR &amp; Admin</t>
        </is>
      </c>
      <c r="E149" s="4" t="n">
        <v>33192</v>
      </c>
      <c r="F149" s="2" t="inlineStr">
        <is>
          <t>Online Transfer</t>
        </is>
      </c>
      <c r="G149" s="2" t="inlineStr">
        <is>
          <t>Usman Tariq (Finance Manager)</t>
        </is>
      </c>
      <c r="H149" s="2" t="inlineStr">
        <is>
          <t>Courier &amp; Logistics</t>
        </is>
      </c>
      <c r="I149" s="2" t="inlineStr">
        <is>
          <t>INV-76497</t>
        </is>
      </c>
      <c r="J149" s="2" t="n"/>
      <c r="K149" s="2" t="inlineStr">
        <is>
          <t>Processed</t>
        </is>
      </c>
      <c r="M149">
        <f>COUNTIFS($C$3:$C$500,C149,$E$3:$E$500,E149)</f>
        <v/>
      </c>
    </row>
    <row r="150">
      <c r="A150" s="5" t="inlineStr">
        <is>
          <t>TXN0148</t>
        </is>
      </c>
      <c r="B150" s="6" t="n">
        <v>45422</v>
      </c>
      <c r="C150" s="5" t="inlineStr">
        <is>
          <t>FedEx Pakistan</t>
        </is>
      </c>
      <c r="D150" s="5" t="inlineStr">
        <is>
          <t>HR &amp; Admin</t>
        </is>
      </c>
      <c r="E150" s="7" t="n">
        <v>12243</v>
      </c>
      <c r="F150" s="5" t="inlineStr">
        <is>
          <t>Online Transfer</t>
        </is>
      </c>
      <c r="G150" s="5" t="inlineStr">
        <is>
          <t>Usman Tariq (Finance Manager)</t>
        </is>
      </c>
      <c r="H150" s="5" t="inlineStr">
        <is>
          <t>Courier &amp; Logistics</t>
        </is>
      </c>
      <c r="I150" s="5" t="inlineStr">
        <is>
          <t>INV-70648</t>
        </is>
      </c>
      <c r="J150" s="5" t="inlineStr">
        <is>
          <t>Urgent</t>
        </is>
      </c>
      <c r="K150" s="5" t="inlineStr">
        <is>
          <t>Processed</t>
        </is>
      </c>
      <c r="M150">
        <f>COUNTIFS($C$3:$C$500,C150,$E$3:$E$500,E150)</f>
        <v/>
      </c>
    </row>
    <row r="151">
      <c r="A151" s="2" t="inlineStr">
        <is>
          <t>TXN0149</t>
        </is>
      </c>
      <c r="B151" s="3" t="n">
        <v>45692</v>
      </c>
      <c r="C151" s="2" t="inlineStr">
        <is>
          <t>Leopards Courier</t>
        </is>
      </c>
      <c r="D151" s="2" t="inlineStr">
        <is>
          <t>Marketing</t>
        </is>
      </c>
      <c r="E151" s="4" t="n">
        <v>26450</v>
      </c>
      <c r="F151" s="2" t="inlineStr">
        <is>
          <t>Bank Transfer</t>
        </is>
      </c>
      <c r="G151" s="2" t="inlineStr">
        <is>
          <t>Bilal Khan (Head Ops)</t>
        </is>
      </c>
      <c r="H151" s="2" t="inlineStr">
        <is>
          <t>Courier &amp; Logistics</t>
        </is>
      </c>
      <c r="I151" s="2" t="inlineStr">
        <is>
          <t>INV-18109</t>
        </is>
      </c>
      <c r="J151" s="2" t="inlineStr">
        <is>
          <t>One-time</t>
        </is>
      </c>
      <c r="K151" s="2" t="inlineStr">
        <is>
          <t>Processed</t>
        </is>
      </c>
      <c r="M151">
        <f>COUNTIFS($C$3:$C$500,C151,$E$3:$E$500,E151)</f>
        <v/>
      </c>
    </row>
    <row r="152">
      <c r="A152" s="5" t="inlineStr">
        <is>
          <t>TXN0150</t>
        </is>
      </c>
      <c r="B152" s="6" t="n">
        <v>45713</v>
      </c>
      <c r="C152" s="5" t="inlineStr">
        <is>
          <t>KPMG Taseer Hadi</t>
        </is>
      </c>
      <c r="D152" s="5" t="inlineStr">
        <is>
          <t>Risk Management</t>
        </is>
      </c>
      <c r="E152" s="7" t="n">
        <v>297538</v>
      </c>
      <c r="F152" s="5" t="inlineStr">
        <is>
          <t>Bank Transfer</t>
        </is>
      </c>
      <c r="G152" s="5" t="inlineStr">
        <is>
          <t>Omer Saleem (CFO)</t>
        </is>
      </c>
      <c r="H152" s="5" t="inlineStr">
        <is>
          <t>Audit &amp; Legal</t>
        </is>
      </c>
      <c r="I152" s="5" t="inlineStr">
        <is>
          <t>INV-42472</t>
        </is>
      </c>
      <c r="J152" s="5" t="inlineStr">
        <is>
          <t>One-time</t>
        </is>
      </c>
      <c r="K152" s="5" t="inlineStr">
        <is>
          <t>Processed</t>
        </is>
      </c>
      <c r="M152">
        <f>COUNTIFS($C$3:$C$500,C152,$E$3:$E$500,E152)</f>
        <v/>
      </c>
    </row>
    <row r="153">
      <c r="A153" s="2" t="inlineStr">
        <is>
          <t>TXN0151</t>
        </is>
      </c>
      <c r="B153" s="3" t="n">
        <v>45573</v>
      </c>
      <c r="C153" s="2" t="inlineStr">
        <is>
          <t>Marriott Islamabad</t>
        </is>
      </c>
      <c r="D153" s="2" t="inlineStr">
        <is>
          <t>Compliance</t>
        </is>
      </c>
      <c r="E153" s="4" t="n">
        <v>83423</v>
      </c>
      <c r="F153" s="2" t="inlineStr">
        <is>
          <t>Online Transfer</t>
        </is>
      </c>
      <c r="G153" s="2" t="inlineStr">
        <is>
          <t>Zara Malik (CFO Office)</t>
        </is>
      </c>
      <c r="H153" s="2" t="inlineStr">
        <is>
          <t>Travel &amp; Accommodation</t>
        </is>
      </c>
      <c r="I153" s="2" t="inlineStr">
        <is>
          <t>INV-63578</t>
        </is>
      </c>
      <c r="J153" s="2" t="inlineStr">
        <is>
          <t>Recurring</t>
        </is>
      </c>
      <c r="K153" s="2" t="inlineStr">
        <is>
          <t>Under Review</t>
        </is>
      </c>
      <c r="M153">
        <f>COUNTIFS($C$3:$C$500,C153,$E$3:$E$500,E153)</f>
        <v/>
      </c>
    </row>
    <row r="154">
      <c r="A154" s="5" t="inlineStr">
        <is>
          <t>TXN0152</t>
        </is>
      </c>
      <c r="B154" s="6" t="n">
        <v>45551</v>
      </c>
      <c r="C154" s="5" t="inlineStr">
        <is>
          <t>Inbox Business Technologies</t>
        </is>
      </c>
      <c r="D154" s="5" t="inlineStr">
        <is>
          <t>Customer Experience</t>
        </is>
      </c>
      <c r="E154" s="7" t="n">
        <v>805077</v>
      </c>
      <c r="F154" s="5" t="inlineStr">
        <is>
          <t>Online Transfer</t>
        </is>
      </c>
      <c r="G154" s="5" t="inlineStr">
        <is>
          <t>Omer Saleem (CFO)</t>
        </is>
      </c>
      <c r="H154" s="5" t="inlineStr">
        <is>
          <t>IT Services</t>
        </is>
      </c>
      <c r="I154" s="5" t="inlineStr">
        <is>
          <t>INV-47243</t>
        </is>
      </c>
      <c r="J154" s="5" t="n"/>
      <c r="K154" s="5" t="inlineStr">
        <is>
          <t>Under Review</t>
        </is>
      </c>
      <c r="M154">
        <f>COUNTIFS($C$3:$C$500,C154,$E$3:$E$500,E154)</f>
        <v/>
      </c>
    </row>
    <row r="155">
      <c r="A155" s="2" t="inlineStr">
        <is>
          <t>TXN0153</t>
        </is>
      </c>
      <c r="B155" s="3" t="n">
        <v>45562</v>
      </c>
      <c r="C155" s="2" t="inlineStr">
        <is>
          <t>Zones Pakistan Pvt Ltd</t>
        </is>
      </c>
      <c r="D155" s="2" t="inlineStr">
        <is>
          <t>Operations</t>
        </is>
      </c>
      <c r="E155" s="4" t="n">
        <v>168625</v>
      </c>
      <c r="F155" s="2" t="inlineStr">
        <is>
          <t>Online Transfer</t>
        </is>
      </c>
      <c r="G155" s="2" t="inlineStr">
        <is>
          <t>Zara Malik (CFO Office)</t>
        </is>
      </c>
      <c r="H155" s="2" t="inlineStr">
        <is>
          <t>Hardware</t>
        </is>
      </c>
      <c r="I155" s="2" t="inlineStr">
        <is>
          <t>INV-26901</t>
        </is>
      </c>
      <c r="J155" s="2" t="n"/>
      <c r="K155" s="2" t="inlineStr">
        <is>
          <t>Processed</t>
        </is>
      </c>
      <c r="M155">
        <f>COUNTIFS($C$3:$C$500,C155,$E$3:$E$500,E155)</f>
        <v/>
      </c>
    </row>
    <row r="156">
      <c r="A156" s="5" t="inlineStr">
        <is>
          <t>TXN0154</t>
        </is>
      </c>
      <c r="B156" s="6" t="n">
        <v>45726</v>
      </c>
      <c r="C156" s="5" t="inlineStr">
        <is>
          <t>Avari Towers</t>
        </is>
      </c>
      <c r="D156" s="5" t="inlineStr">
        <is>
          <t>Operations</t>
        </is>
      </c>
      <c r="E156" s="7" t="n">
        <v>124048</v>
      </c>
      <c r="F156" s="5" t="inlineStr">
        <is>
          <t>Online Transfer</t>
        </is>
      </c>
      <c r="G156" s="5" t="inlineStr">
        <is>
          <t>Sara Ahmed (VP Finance)</t>
        </is>
      </c>
      <c r="H156" s="5" t="inlineStr">
        <is>
          <t>Travel &amp; Accommodation</t>
        </is>
      </c>
      <c r="I156" s="5" t="inlineStr">
        <is>
          <t>INV-76648</t>
        </is>
      </c>
      <c r="J156" s="5" t="inlineStr">
        <is>
          <t>Recurring</t>
        </is>
      </c>
      <c r="K156" s="5" t="inlineStr">
        <is>
          <t>Processed</t>
        </is>
      </c>
      <c r="M156">
        <f>COUNTIFS($C$3:$C$500,C156,$E$3:$E$500,E156)</f>
        <v/>
      </c>
    </row>
    <row r="157">
      <c r="A157" s="2" t="inlineStr">
        <is>
          <t>TXN0155</t>
        </is>
      </c>
      <c r="B157" s="3" t="n">
        <v>45631</v>
      </c>
      <c r="C157" s="2" t="inlineStr">
        <is>
          <t>PwC Pakistan</t>
        </is>
      </c>
      <c r="D157" s="2" t="inlineStr">
        <is>
          <t>Finance &amp; Accounts</t>
        </is>
      </c>
      <c r="E157" s="4" t="n">
        <v>393375</v>
      </c>
      <c r="F157" s="2" t="inlineStr">
        <is>
          <t>RTGS</t>
        </is>
      </c>
      <c r="G157" s="2" t="inlineStr">
        <is>
          <t>Omer Saleem (CFO)</t>
        </is>
      </c>
      <c r="H157" s="2" t="inlineStr">
        <is>
          <t>Audit &amp; Legal</t>
        </is>
      </c>
      <c r="I157" s="2" t="inlineStr">
        <is>
          <t>INV-28030</t>
        </is>
      </c>
      <c r="J157" s="2" t="n"/>
      <c r="K157" s="2" t="inlineStr">
        <is>
          <t>Processed</t>
        </is>
      </c>
      <c r="M157">
        <f>COUNTIFS($C$3:$C$500,C157,$E$3:$E$500,E157)</f>
        <v/>
      </c>
    </row>
    <row r="158">
      <c r="A158" s="5" t="inlineStr">
        <is>
          <t>TXN0156</t>
        </is>
      </c>
      <c r="B158" s="6" t="n">
        <v>45652</v>
      </c>
      <c r="C158" s="5" t="inlineStr">
        <is>
          <t>Meezan Bank Ltd</t>
        </is>
      </c>
      <c r="D158" s="5" t="inlineStr">
        <is>
          <t>Technology</t>
        </is>
      </c>
      <c r="E158" s="7" t="n">
        <v>101233</v>
      </c>
      <c r="F158" s="5" t="inlineStr">
        <is>
          <t>Online Transfer</t>
        </is>
      </c>
      <c r="G158" s="5" t="inlineStr">
        <is>
          <t>Sara Ahmed (VP Finance)</t>
        </is>
      </c>
      <c r="H158" s="5" t="inlineStr">
        <is>
          <t>Banking Services</t>
        </is>
      </c>
      <c r="I158" s="5" t="inlineStr">
        <is>
          <t>INV-91006</t>
        </is>
      </c>
      <c r="J158" s="5" t="n"/>
      <c r="K158" s="5" t="inlineStr">
        <is>
          <t>Under Review</t>
        </is>
      </c>
      <c r="M158">
        <f>COUNTIFS($C$3:$C$500,C158,$E$3:$E$500,E158)</f>
        <v/>
      </c>
    </row>
    <row r="159">
      <c r="A159" s="2" t="inlineStr">
        <is>
          <t>TXN0157</t>
        </is>
      </c>
      <c r="B159" s="3" t="n">
        <v>45737</v>
      </c>
      <c r="C159" s="2" t="inlineStr">
        <is>
          <t>Axis Law Chambers</t>
        </is>
      </c>
      <c r="D159" s="2" t="inlineStr">
        <is>
          <t>Technology</t>
        </is>
      </c>
      <c r="E159" s="4" t="n">
        <v>238873</v>
      </c>
      <c r="F159" s="2" t="inlineStr">
        <is>
          <t>Cheque</t>
        </is>
      </c>
      <c r="G159" s="2" t="inlineStr">
        <is>
          <t>Omer Saleem (CFO)</t>
        </is>
      </c>
      <c r="H159" s="2" t="inlineStr">
        <is>
          <t>Legal Services</t>
        </is>
      </c>
      <c r="I159" s="2" t="inlineStr">
        <is>
          <t>INV-15726</t>
        </is>
      </c>
      <c r="J159" s="2" t="inlineStr">
        <is>
          <t>Pre-approved</t>
        </is>
      </c>
      <c r="K159" s="2" t="inlineStr">
        <is>
          <t>Processed</t>
        </is>
      </c>
      <c r="M159">
        <f>COUNTIFS($C$3:$C$500,C159,$E$3:$E$500,E159)</f>
        <v/>
      </c>
    </row>
    <row r="160">
      <c r="A160" s="5" t="inlineStr">
        <is>
          <t>TXN0158</t>
        </is>
      </c>
      <c r="B160" s="6" t="n">
        <v>45502</v>
      </c>
      <c r="C160" s="5" t="inlineStr">
        <is>
          <t>Allied Bank Limited</t>
        </is>
      </c>
      <c r="D160" s="5" t="inlineStr">
        <is>
          <t>HR &amp; Admin</t>
        </is>
      </c>
      <c r="E160" s="7" t="n">
        <v>110546</v>
      </c>
      <c r="F160" s="5" t="inlineStr">
        <is>
          <t>RTGS</t>
        </is>
      </c>
      <c r="G160" s="5" t="inlineStr">
        <is>
          <t>Sara Ahmed (VP Finance)</t>
        </is>
      </c>
      <c r="H160" s="5" t="inlineStr">
        <is>
          <t>Banking Services</t>
        </is>
      </c>
      <c r="I160" s="5" t="inlineStr">
        <is>
          <t>INV-71474</t>
        </is>
      </c>
      <c r="J160" s="5" t="n"/>
      <c r="K160" s="5" t="inlineStr">
        <is>
          <t>Processed</t>
        </is>
      </c>
      <c r="M160">
        <f>COUNTIFS($C$3:$C$500,C160,$E$3:$E$500,E160)</f>
        <v/>
      </c>
    </row>
    <row r="161">
      <c r="A161" s="2" t="inlineStr">
        <is>
          <t>TXN0159</t>
        </is>
      </c>
      <c r="B161" s="3" t="n">
        <v>45653</v>
      </c>
      <c r="C161" s="2" t="inlineStr">
        <is>
          <t>Al-Fatah Electronics</t>
        </is>
      </c>
      <c r="D161" s="2" t="inlineStr">
        <is>
          <t>HR &amp; Admin</t>
        </is>
      </c>
      <c r="E161" s="4" t="n">
        <v>47719</v>
      </c>
      <c r="F161" s="2" t="inlineStr">
        <is>
          <t>Bank Transfer</t>
        </is>
      </c>
      <c r="G161" s="2" t="inlineStr">
        <is>
          <t>Bilal Khan (Head Ops)</t>
        </is>
      </c>
      <c r="H161" s="2" t="inlineStr">
        <is>
          <t>Office Supplies</t>
        </is>
      </c>
      <c r="I161" s="2" t="inlineStr">
        <is>
          <t>INV-36174</t>
        </is>
      </c>
      <c r="J161" s="2" t="n"/>
      <c r="K161" s="2" t="inlineStr">
        <is>
          <t>Processed</t>
        </is>
      </c>
      <c r="M161">
        <f>COUNTIFS($C$3:$C$500,C161,$E$3:$E$500,E161)</f>
        <v/>
      </c>
    </row>
    <row r="162">
      <c r="A162" s="5" t="inlineStr">
        <is>
          <t>TXN0160</t>
        </is>
      </c>
      <c r="B162" s="6" t="n">
        <v>45666</v>
      </c>
      <c r="C162" s="5" t="inlineStr">
        <is>
          <t>Inbox Business Technologies</t>
        </is>
      </c>
      <c r="D162" s="5" t="inlineStr">
        <is>
          <t>Customer Experience</t>
        </is>
      </c>
      <c r="E162" s="7" t="n">
        <v>630863</v>
      </c>
      <c r="F162" s="5" t="inlineStr">
        <is>
          <t>Bank Transfer</t>
        </is>
      </c>
      <c r="G162" s="5" t="inlineStr">
        <is>
          <t>Omer Saleem (CFO)</t>
        </is>
      </c>
      <c r="H162" s="5" t="inlineStr">
        <is>
          <t>IT Services</t>
        </is>
      </c>
      <c r="I162" s="5" t="inlineStr">
        <is>
          <t>INV-47363</t>
        </is>
      </c>
      <c r="J162" s="5" t="n"/>
      <c r="K162" s="5" t="inlineStr">
        <is>
          <t>Processed</t>
        </is>
      </c>
      <c r="M162">
        <f>COUNTIFS($C$3:$C$500,C162,$E$3:$E$500,E162)</f>
        <v/>
      </c>
    </row>
    <row r="163">
      <c r="A163" s="2" t="inlineStr">
        <is>
          <t>TXN0161</t>
        </is>
      </c>
      <c r="B163" s="3" t="n">
        <v>45429</v>
      </c>
      <c r="C163" s="2" t="inlineStr">
        <is>
          <t>HBL Corporate</t>
        </is>
      </c>
      <c r="D163" s="2" t="inlineStr">
        <is>
          <t>HR &amp; Admin</t>
        </is>
      </c>
      <c r="E163" s="4" t="n">
        <v>95547</v>
      </c>
      <c r="F163" s="2" t="inlineStr">
        <is>
          <t>Cheque</t>
        </is>
      </c>
      <c r="G163" s="2" t="inlineStr">
        <is>
          <t>Sara Ahmed (VP Finance)</t>
        </is>
      </c>
      <c r="H163" s="2" t="inlineStr">
        <is>
          <t>Banking Services</t>
        </is>
      </c>
      <c r="I163" s="2" t="inlineStr">
        <is>
          <t>INV-55820</t>
        </is>
      </c>
      <c r="J163" s="2" t="n"/>
      <c r="K163" s="2" t="inlineStr">
        <is>
          <t>Processed</t>
        </is>
      </c>
      <c r="M163">
        <f>COUNTIFS($C$3:$C$500,C163,$E$3:$E$500,E163)</f>
        <v/>
      </c>
    </row>
    <row r="164">
      <c r="A164" s="5" t="inlineStr">
        <is>
          <t>TXN0162</t>
        </is>
      </c>
      <c r="B164" s="6" t="n">
        <v>45503</v>
      </c>
      <c r="C164" s="5" t="inlineStr">
        <is>
          <t>Inbox Business Technologies</t>
        </is>
      </c>
      <c r="D164" s="5" t="inlineStr">
        <is>
          <t>Operations</t>
        </is>
      </c>
      <c r="E164" s="7" t="n">
        <v>653365</v>
      </c>
      <c r="F164" s="5" t="inlineStr">
        <is>
          <t>Bank Transfer</t>
        </is>
      </c>
      <c r="G164" s="5" t="inlineStr">
        <is>
          <t>Omer Saleem (CFO)</t>
        </is>
      </c>
      <c r="H164" s="5" t="inlineStr">
        <is>
          <t>IT Services</t>
        </is>
      </c>
      <c r="I164" s="5" t="inlineStr">
        <is>
          <t>INV-59140</t>
        </is>
      </c>
      <c r="J164" s="5" t="n"/>
      <c r="K164" s="5" t="inlineStr">
        <is>
          <t>Processed</t>
        </is>
      </c>
      <c r="M164">
        <f>COUNTIFS($C$3:$C$500,C164,$E$3:$E$500,E164)</f>
        <v/>
      </c>
    </row>
    <row r="165">
      <c r="A165" s="2" t="inlineStr">
        <is>
          <t>TXN0163</t>
        </is>
      </c>
      <c r="B165" s="3" t="n">
        <v>45457</v>
      </c>
      <c r="C165" s="2" t="inlineStr">
        <is>
          <t>Deloitte Pakistan</t>
        </is>
      </c>
      <c r="D165" s="2" t="inlineStr">
        <is>
          <t>Technology</t>
        </is>
      </c>
      <c r="E165" s="4" t="n">
        <v>955761</v>
      </c>
      <c r="F165" s="2" t="inlineStr">
        <is>
          <t>Bank Transfer</t>
        </is>
      </c>
      <c r="G165" s="2" t="inlineStr">
        <is>
          <t>Omer Saleem (CFO)</t>
        </is>
      </c>
      <c r="H165" s="2" t="inlineStr">
        <is>
          <t>Audit &amp; Legal</t>
        </is>
      </c>
      <c r="I165" s="2" t="inlineStr">
        <is>
          <t>INV-47601</t>
        </is>
      </c>
      <c r="J165" s="2" t="inlineStr">
        <is>
          <t>One-time</t>
        </is>
      </c>
      <c r="K165" s="2" t="inlineStr">
        <is>
          <t>Processed</t>
        </is>
      </c>
      <c r="M165">
        <f>COUNTIFS($C$3:$C$500,C165,$E$3:$E$500,E165)</f>
        <v/>
      </c>
    </row>
    <row r="166">
      <c r="A166" s="5" t="inlineStr">
        <is>
          <t>TXN0164</t>
        </is>
      </c>
      <c r="B166" s="6" t="n">
        <v>45392</v>
      </c>
      <c r="C166" s="5" t="inlineStr">
        <is>
          <t>National Logistic Cell</t>
        </is>
      </c>
      <c r="D166" s="5" t="inlineStr">
        <is>
          <t>HR &amp; Admin</t>
        </is>
      </c>
      <c r="E166" s="7" t="n">
        <v>10489</v>
      </c>
      <c r="F166" s="5" t="inlineStr">
        <is>
          <t>RTGS</t>
        </is>
      </c>
      <c r="G166" s="5" t="inlineStr">
        <is>
          <t>Bilal Khan (Head Ops)</t>
        </is>
      </c>
      <c r="H166" s="5" t="inlineStr">
        <is>
          <t>Courier &amp; Logistics</t>
        </is>
      </c>
      <c r="I166" s="5" t="inlineStr">
        <is>
          <t>INV-29597</t>
        </is>
      </c>
      <c r="J166" s="5" t="inlineStr">
        <is>
          <t>Urgent</t>
        </is>
      </c>
      <c r="K166" s="5" t="inlineStr">
        <is>
          <t>Under Review</t>
        </is>
      </c>
      <c r="M166">
        <f>COUNTIFS($C$3:$C$500,C166,$E$3:$E$500,E166)</f>
        <v/>
      </c>
    </row>
    <row r="167">
      <c r="A167" s="2" t="inlineStr">
        <is>
          <t>TXN0165</t>
        </is>
      </c>
      <c r="B167" s="3" t="n">
        <v>45504</v>
      </c>
      <c r="C167" s="2" t="inlineStr">
        <is>
          <t>Marriott Islamabad</t>
        </is>
      </c>
      <c r="D167" s="2" t="inlineStr">
        <is>
          <t>Operations</t>
        </is>
      </c>
      <c r="E167" s="4" t="n">
        <v>69713</v>
      </c>
      <c r="F167" s="2" t="inlineStr">
        <is>
          <t>Bank Transfer</t>
        </is>
      </c>
      <c r="G167" s="2" t="inlineStr">
        <is>
          <t>Zara Malik (CFO Office)</t>
        </is>
      </c>
      <c r="H167" s="2" t="inlineStr">
        <is>
          <t>Travel &amp; Accommodation</t>
        </is>
      </c>
      <c r="I167" s="2" t="inlineStr">
        <is>
          <t>INV-16258</t>
        </is>
      </c>
      <c r="J167" s="2" t="n"/>
      <c r="K167" s="2" t="inlineStr">
        <is>
          <t>Processed</t>
        </is>
      </c>
      <c r="M167">
        <f>COUNTIFS($C$3:$C$500,C167,$E$3:$E$500,E167)</f>
        <v/>
      </c>
    </row>
    <row r="168">
      <c r="A168" s="5" t="inlineStr">
        <is>
          <t>TXN0166</t>
        </is>
      </c>
      <c r="B168" s="6" t="n">
        <v>45439</v>
      </c>
      <c r="C168" s="5" t="inlineStr">
        <is>
          <t>Singer Pakistan</t>
        </is>
      </c>
      <c r="D168" s="5" t="inlineStr">
        <is>
          <t>Marketing</t>
        </is>
      </c>
      <c r="E168" s="7" t="n">
        <v>43833</v>
      </c>
      <c r="F168" s="5" t="inlineStr">
        <is>
          <t>Bank Transfer</t>
        </is>
      </c>
      <c r="G168" s="5" t="inlineStr">
        <is>
          <t>Bilal Khan (Head Ops)</t>
        </is>
      </c>
      <c r="H168" s="5" t="inlineStr">
        <is>
          <t>Office Supplies</t>
        </is>
      </c>
      <c r="I168" s="5" t="inlineStr">
        <is>
          <t>INV-92831</t>
        </is>
      </c>
      <c r="J168" s="5" t="inlineStr">
        <is>
          <t>Urgent</t>
        </is>
      </c>
      <c r="K168" s="5" t="inlineStr">
        <is>
          <t>Under Review</t>
        </is>
      </c>
      <c r="M168">
        <f>COUNTIFS($C$3:$C$500,C168,$E$3:$E$500,E168)</f>
        <v/>
      </c>
    </row>
    <row r="169">
      <c r="A169" s="2" t="inlineStr">
        <is>
          <t>TXN0167</t>
        </is>
      </c>
      <c r="B169" s="3" t="n">
        <v>45602</v>
      </c>
      <c r="C169" s="2" t="inlineStr">
        <is>
          <t>Allied Bank Limited</t>
        </is>
      </c>
      <c r="D169" s="2" t="inlineStr">
        <is>
          <t>Risk Management</t>
        </is>
      </c>
      <c r="E169" s="4" t="n">
        <v>49437</v>
      </c>
      <c r="F169" s="2" t="inlineStr">
        <is>
          <t>Online Transfer</t>
        </is>
      </c>
      <c r="G169" s="2" t="inlineStr">
        <is>
          <t>Usman Tariq (Finance Manager)</t>
        </is>
      </c>
      <c r="H169" s="2" t="inlineStr">
        <is>
          <t>Banking Services</t>
        </is>
      </c>
      <c r="I169" s="2" t="inlineStr">
        <is>
          <t>INV-41531</t>
        </is>
      </c>
      <c r="J169" s="2" t="inlineStr">
        <is>
          <t>Pre-approved</t>
        </is>
      </c>
      <c r="K169" s="2" t="inlineStr">
        <is>
          <t>Processed</t>
        </is>
      </c>
      <c r="M169">
        <f>COUNTIFS($C$3:$C$500,C169,$E$3:$E$500,E169)</f>
        <v/>
      </c>
    </row>
    <row r="170">
      <c r="A170" s="5" t="inlineStr">
        <is>
          <t>TXN0168</t>
        </is>
      </c>
      <c r="B170" s="6" t="n">
        <v>45567</v>
      </c>
      <c r="C170" s="5" t="inlineStr">
        <is>
          <t>Nestle Pakistan</t>
        </is>
      </c>
      <c r="D170" s="5" t="inlineStr">
        <is>
          <t>Customer Experience</t>
        </is>
      </c>
      <c r="E170" s="7" t="n">
        <v>27033</v>
      </c>
      <c r="F170" s="5" t="inlineStr">
        <is>
          <t>Bank Transfer</t>
        </is>
      </c>
      <c r="G170" s="5" t="inlineStr">
        <is>
          <t>Usman Tariq (Finance Manager)</t>
        </is>
      </c>
      <c r="H170" s="5" t="inlineStr">
        <is>
          <t>Office Supplies</t>
        </is>
      </c>
      <c r="I170" s="5" t="inlineStr">
        <is>
          <t>INV-61177</t>
        </is>
      </c>
      <c r="J170" s="5" t="inlineStr">
        <is>
          <t>One-time</t>
        </is>
      </c>
      <c r="K170" s="5" t="inlineStr">
        <is>
          <t>Processed</t>
        </is>
      </c>
      <c r="M170">
        <f>COUNTIFS($C$3:$C$500,C170,$E$3:$E$500,E170)</f>
        <v/>
      </c>
    </row>
    <row r="171">
      <c r="A171" s="2" t="inlineStr">
        <is>
          <t>TXN0169</t>
        </is>
      </c>
      <c r="B171" s="3" t="n">
        <v>45391</v>
      </c>
      <c r="C171" s="2" t="inlineStr">
        <is>
          <t>Singer Pakistan</t>
        </is>
      </c>
      <c r="D171" s="2" t="inlineStr">
        <is>
          <t>Operations</t>
        </is>
      </c>
      <c r="E171" s="4" t="n">
        <v>41466</v>
      </c>
      <c r="F171" s="2" t="inlineStr">
        <is>
          <t>Bank Transfer</t>
        </is>
      </c>
      <c r="G171" s="2" t="inlineStr">
        <is>
          <t>Bilal Khan (Head Ops)</t>
        </is>
      </c>
      <c r="H171" s="2" t="inlineStr">
        <is>
          <t>Office Supplies</t>
        </is>
      </c>
      <c r="I171" s="2" t="inlineStr">
        <is>
          <t>INV-55193</t>
        </is>
      </c>
      <c r="J171" s="2" t="n"/>
      <c r="K171" s="2" t="inlineStr">
        <is>
          <t>Processed</t>
        </is>
      </c>
      <c r="M171">
        <f>COUNTIFS($C$3:$C$500,C171,$E$3:$E$500,E171)</f>
        <v/>
      </c>
    </row>
    <row r="172">
      <c r="A172" s="5" t="inlineStr">
        <is>
          <t>TXN0170</t>
        </is>
      </c>
      <c r="B172" s="6" t="n">
        <v>45405</v>
      </c>
      <c r="C172" s="5" t="inlineStr">
        <is>
          <t>Metro Cash &amp; Carry</t>
        </is>
      </c>
      <c r="D172" s="5" t="inlineStr">
        <is>
          <t>Risk Management</t>
        </is>
      </c>
      <c r="E172" s="7" t="n">
        <v>67883</v>
      </c>
      <c r="F172" s="5" t="inlineStr">
        <is>
          <t>Online Transfer</t>
        </is>
      </c>
      <c r="G172" s="5" t="inlineStr">
        <is>
          <t>Zara Malik (CFO Office)</t>
        </is>
      </c>
      <c r="H172" s="5" t="inlineStr">
        <is>
          <t>Office Supplies</t>
        </is>
      </c>
      <c r="I172" s="5" t="inlineStr">
        <is>
          <t>INV-94252</t>
        </is>
      </c>
      <c r="J172" s="5" t="n"/>
      <c r="K172" s="5" t="inlineStr">
        <is>
          <t>Processed</t>
        </is>
      </c>
      <c r="M172">
        <f>COUNTIFS($C$3:$C$500,C172,$E$3:$E$500,E172)</f>
        <v/>
      </c>
    </row>
    <row r="173">
      <c r="A173" s="2" t="inlineStr">
        <is>
          <t>TXN0171</t>
        </is>
      </c>
      <c r="B173" s="3" t="n">
        <v>45415</v>
      </c>
      <c r="C173" s="2" t="inlineStr">
        <is>
          <t>National Logistic Cell</t>
        </is>
      </c>
      <c r="D173" s="2" t="inlineStr">
        <is>
          <t>Customer Experience</t>
        </is>
      </c>
      <c r="E173" s="4" t="n">
        <v>23001</v>
      </c>
      <c r="F173" s="2" t="inlineStr">
        <is>
          <t>Bank Transfer</t>
        </is>
      </c>
      <c r="G173" s="2" t="inlineStr">
        <is>
          <t>Bilal Khan (Head Ops)</t>
        </is>
      </c>
      <c r="H173" s="2" t="inlineStr">
        <is>
          <t>Courier &amp; Logistics</t>
        </is>
      </c>
      <c r="I173" s="2" t="inlineStr">
        <is>
          <t>INV-48462</t>
        </is>
      </c>
      <c r="J173" s="2" t="n"/>
      <c r="K173" s="2" t="inlineStr">
        <is>
          <t>Processed</t>
        </is>
      </c>
      <c r="M173">
        <f>COUNTIFS($C$3:$C$500,C173,$E$3:$E$500,E173)</f>
        <v/>
      </c>
    </row>
    <row r="174">
      <c r="A174" s="5" t="inlineStr">
        <is>
          <t>TXN0172</t>
        </is>
      </c>
      <c r="B174" s="6" t="n">
        <v>45646</v>
      </c>
      <c r="C174" s="5" t="inlineStr">
        <is>
          <t>PTCL Corporate</t>
        </is>
      </c>
      <c r="D174" s="5" t="inlineStr">
        <is>
          <t>Technology</t>
        </is>
      </c>
      <c r="E174" s="7" t="n">
        <v>62292</v>
      </c>
      <c r="F174" s="5" t="inlineStr">
        <is>
          <t>Cheque</t>
        </is>
      </c>
      <c r="G174" s="5" t="inlineStr">
        <is>
          <t>Zara Malik (CFO Office)</t>
        </is>
      </c>
      <c r="H174" s="5" t="inlineStr">
        <is>
          <t>Telecom</t>
        </is>
      </c>
      <c r="I174" s="5" t="inlineStr">
        <is>
          <t>INV-43202</t>
        </is>
      </c>
      <c r="J174" s="5" t="n"/>
      <c r="K174" s="5" t="inlineStr">
        <is>
          <t>Processed</t>
        </is>
      </c>
      <c r="M174">
        <f>COUNTIFS($C$3:$C$500,C174,$E$3:$E$500,E174)</f>
        <v/>
      </c>
    </row>
    <row r="175">
      <c r="A175" s="2" t="inlineStr">
        <is>
          <t>TXN0173</t>
        </is>
      </c>
      <c r="B175" s="3" t="n">
        <v>45446</v>
      </c>
      <c r="C175" s="2" t="inlineStr">
        <is>
          <t>Meezan Bank Ltd</t>
        </is>
      </c>
      <c r="D175" s="2" t="inlineStr">
        <is>
          <t>Operations</t>
        </is>
      </c>
      <c r="E175" s="4" t="n">
        <v>37550</v>
      </c>
      <c r="F175" s="2" t="inlineStr">
        <is>
          <t>Online Transfer</t>
        </is>
      </c>
      <c r="G175" s="2" t="inlineStr">
        <is>
          <t>Bilal Khan (Head Ops)</t>
        </is>
      </c>
      <c r="H175" s="2" t="inlineStr">
        <is>
          <t>Banking Services</t>
        </is>
      </c>
      <c r="I175" s="2" t="inlineStr">
        <is>
          <t>INV-62431</t>
        </is>
      </c>
      <c r="J175" s="2" t="inlineStr">
        <is>
          <t>One-time</t>
        </is>
      </c>
      <c r="K175" s="2" t="inlineStr">
        <is>
          <t>Processed</t>
        </is>
      </c>
      <c r="M175">
        <f>COUNTIFS($C$3:$C$500,C175,$E$3:$E$500,E175)</f>
        <v/>
      </c>
    </row>
    <row r="176">
      <c r="A176" s="5" t="inlineStr">
        <is>
          <t>TXN0174</t>
        </is>
      </c>
      <c r="B176" s="6" t="n">
        <v>45519</v>
      </c>
      <c r="C176" s="5" t="inlineStr">
        <is>
          <t>KPMG Taseer Hadi</t>
        </is>
      </c>
      <c r="D176" s="5" t="inlineStr">
        <is>
          <t>Technology</t>
        </is>
      </c>
      <c r="E176" s="7" t="n">
        <v>729304</v>
      </c>
      <c r="F176" s="5" t="inlineStr">
        <is>
          <t>Online Transfer</t>
        </is>
      </c>
      <c r="G176" s="5" t="inlineStr">
        <is>
          <t>Omer Saleem (CFO)</t>
        </is>
      </c>
      <c r="H176" s="5" t="inlineStr">
        <is>
          <t>Audit &amp; Legal</t>
        </is>
      </c>
      <c r="I176" s="5" t="inlineStr">
        <is>
          <t>INV-20345</t>
        </is>
      </c>
      <c r="J176" s="5" t="inlineStr">
        <is>
          <t>Pre-approved</t>
        </is>
      </c>
      <c r="K176" s="5" t="inlineStr">
        <is>
          <t>Under Review</t>
        </is>
      </c>
      <c r="M176">
        <f>COUNTIFS($C$3:$C$500,C176,$E$3:$E$500,E176)</f>
        <v/>
      </c>
    </row>
    <row r="177">
      <c r="A177" s="2" t="inlineStr">
        <is>
          <t>TXN0175</t>
        </is>
      </c>
      <c r="B177" s="3" t="n">
        <v>45435</v>
      </c>
      <c r="C177" s="2" t="inlineStr">
        <is>
          <t>Telenor Pakistan</t>
        </is>
      </c>
      <c r="D177" s="2" t="inlineStr">
        <is>
          <t>Compliance</t>
        </is>
      </c>
      <c r="E177" s="4" t="n">
        <v>59613</v>
      </c>
      <c r="F177" s="2" t="inlineStr">
        <is>
          <t>Online Transfer</t>
        </is>
      </c>
      <c r="G177" s="2" t="inlineStr">
        <is>
          <t>Sara Ahmed (VP Finance)</t>
        </is>
      </c>
      <c r="H177" s="2" t="inlineStr">
        <is>
          <t>Telecom</t>
        </is>
      </c>
      <c r="I177" s="2" t="inlineStr">
        <is>
          <t>INV-96628</t>
        </is>
      </c>
      <c r="J177" s="2" t="n"/>
      <c r="K177" s="2" t="inlineStr">
        <is>
          <t>Processed</t>
        </is>
      </c>
      <c r="M177">
        <f>COUNTIFS($C$3:$C$500,C177,$E$3:$E$500,E177)</f>
        <v/>
      </c>
    </row>
    <row r="178">
      <c r="A178" s="5" t="inlineStr">
        <is>
          <t>TXN0176</t>
        </is>
      </c>
      <c r="B178" s="6" t="n">
        <v>45736</v>
      </c>
      <c r="C178" s="5" t="inlineStr">
        <is>
          <t>Leopards Courier</t>
        </is>
      </c>
      <c r="D178" s="5" t="inlineStr">
        <is>
          <t>Marketing</t>
        </is>
      </c>
      <c r="E178" s="7" t="n">
        <v>39502</v>
      </c>
      <c r="F178" s="5" t="inlineStr">
        <is>
          <t>Online Transfer</t>
        </is>
      </c>
      <c r="G178" s="5" t="inlineStr">
        <is>
          <t>Bilal Khan (Head Ops)</t>
        </is>
      </c>
      <c r="H178" s="5" t="inlineStr">
        <is>
          <t>Courier &amp; Logistics</t>
        </is>
      </c>
      <c r="I178" s="5" t="inlineStr">
        <is>
          <t>INV-68606</t>
        </is>
      </c>
      <c r="J178" s="5" t="n"/>
      <c r="K178" s="5" t="inlineStr">
        <is>
          <t>Processed</t>
        </is>
      </c>
      <c r="M178">
        <f>COUNTIFS($C$3:$C$500,C178,$E$3:$E$500,E178)</f>
        <v/>
      </c>
    </row>
    <row r="179">
      <c r="A179" s="2" t="inlineStr">
        <is>
          <t>TXN0177</t>
        </is>
      </c>
      <c r="B179" s="3" t="n">
        <v>45421</v>
      </c>
      <c r="C179" s="2" t="inlineStr">
        <is>
          <t>Pak Elektron Limited</t>
        </is>
      </c>
      <c r="D179" s="2" t="inlineStr">
        <is>
          <t>Operations</t>
        </is>
      </c>
      <c r="E179" s="4" t="n">
        <v>369678</v>
      </c>
      <c r="F179" s="2" t="inlineStr">
        <is>
          <t>Online Transfer</t>
        </is>
      </c>
      <c r="G179" s="2" t="inlineStr">
        <is>
          <t>Omer Saleem (CFO)</t>
        </is>
      </c>
      <c r="H179" s="2" t="inlineStr">
        <is>
          <t>Hardware</t>
        </is>
      </c>
      <c r="I179" s="2" t="inlineStr">
        <is>
          <t>INV-77251</t>
        </is>
      </c>
      <c r="J179" s="2" t="n"/>
      <c r="K179" s="2" t="inlineStr">
        <is>
          <t>Processed</t>
        </is>
      </c>
      <c r="M179">
        <f>COUNTIFS($C$3:$C$500,C179,$E$3:$E$500,E179)</f>
        <v/>
      </c>
    </row>
    <row r="180">
      <c r="A180" s="5" t="inlineStr">
        <is>
          <t>TXN0178</t>
        </is>
      </c>
      <c r="B180" s="6" t="n">
        <v>45447</v>
      </c>
      <c r="C180" s="5" t="inlineStr">
        <is>
          <t>Zones Pakistan Pvt Ltd</t>
        </is>
      </c>
      <c r="D180" s="5" t="inlineStr">
        <is>
          <t>Marketing</t>
        </is>
      </c>
      <c r="E180" s="7" t="n">
        <v>540874</v>
      </c>
      <c r="F180" s="5" t="inlineStr">
        <is>
          <t>RTGS</t>
        </is>
      </c>
      <c r="G180" s="5" t="inlineStr">
        <is>
          <t>Omer Saleem (CFO)</t>
        </is>
      </c>
      <c r="H180" s="5" t="inlineStr">
        <is>
          <t>Hardware</t>
        </is>
      </c>
      <c r="I180" s="5" t="inlineStr">
        <is>
          <t>INV-94562</t>
        </is>
      </c>
      <c r="J180" s="5" t="inlineStr">
        <is>
          <t>Recurring</t>
        </is>
      </c>
      <c r="K180" s="5" t="inlineStr">
        <is>
          <t>Processed</t>
        </is>
      </c>
      <c r="M180">
        <f>COUNTIFS($C$3:$C$500,C180,$E$3:$E$500,E180)</f>
        <v/>
      </c>
    </row>
    <row r="181">
      <c r="A181" s="2" t="inlineStr">
        <is>
          <t>TXN0179</t>
        </is>
      </c>
      <c r="B181" s="3" t="n">
        <v>45730</v>
      </c>
      <c r="C181" s="2" t="inlineStr">
        <is>
          <t>Axis Law Chambers</t>
        </is>
      </c>
      <c r="D181" s="2" t="inlineStr">
        <is>
          <t>Marketing</t>
        </is>
      </c>
      <c r="E181" s="4" t="n">
        <v>170339</v>
      </c>
      <c r="F181" s="2" t="inlineStr">
        <is>
          <t>Online Transfer</t>
        </is>
      </c>
      <c r="G181" s="2" t="inlineStr">
        <is>
          <t>Zara Malik (CFO Office)</t>
        </is>
      </c>
      <c r="H181" s="2" t="inlineStr">
        <is>
          <t>Legal Services</t>
        </is>
      </c>
      <c r="I181" s="2" t="inlineStr">
        <is>
          <t>INV-58760</t>
        </is>
      </c>
      <c r="J181" s="2" t="inlineStr">
        <is>
          <t>One-time</t>
        </is>
      </c>
      <c r="K181" s="2" t="inlineStr">
        <is>
          <t>Processed</t>
        </is>
      </c>
      <c r="M181">
        <f>COUNTIFS($C$3:$C$500,C181,$E$3:$E$500,E181)</f>
        <v/>
      </c>
    </row>
    <row r="182">
      <c r="A182" s="5" t="inlineStr">
        <is>
          <t>TXN0180</t>
        </is>
      </c>
      <c r="B182" s="6" t="n">
        <v>45586</v>
      </c>
      <c r="C182" s="5" t="inlineStr">
        <is>
          <t>Al-Fatah Electronics</t>
        </is>
      </c>
      <c r="D182" s="5" t="inlineStr">
        <is>
          <t>Technology</t>
        </is>
      </c>
      <c r="E182" s="7" t="n">
        <v>53557</v>
      </c>
      <c r="F182" s="5" t="inlineStr">
        <is>
          <t>RTGS</t>
        </is>
      </c>
      <c r="G182" s="5" t="inlineStr">
        <is>
          <t>Zara Malik (CFO Office)</t>
        </is>
      </c>
      <c r="H182" s="5" t="inlineStr">
        <is>
          <t>Office Supplies</t>
        </is>
      </c>
      <c r="I182" s="5" t="inlineStr">
        <is>
          <t>INV-42717</t>
        </is>
      </c>
      <c r="J182" s="5" t="n"/>
      <c r="K182" s="5" t="inlineStr">
        <is>
          <t>Processed</t>
        </is>
      </c>
      <c r="M182">
        <f>COUNTIFS($C$3:$C$500,C182,$E$3:$E$500,E182)</f>
        <v/>
      </c>
    </row>
    <row r="183">
      <c r="A183" s="2" t="inlineStr">
        <is>
          <t>TXN0181</t>
        </is>
      </c>
      <c r="B183" s="3" t="n">
        <v>45670</v>
      </c>
      <c r="C183" s="2" t="inlineStr">
        <is>
          <t>Telenor Pakistan</t>
        </is>
      </c>
      <c r="D183" s="2" t="inlineStr">
        <is>
          <t>HR &amp; Admin</t>
        </is>
      </c>
      <c r="E183" s="4" t="n">
        <v>90048</v>
      </c>
      <c r="F183" s="2" t="inlineStr">
        <is>
          <t>RTGS</t>
        </is>
      </c>
      <c r="G183" s="2" t="inlineStr">
        <is>
          <t>Sara Ahmed (VP Finance)</t>
        </is>
      </c>
      <c r="H183" s="2" t="inlineStr">
        <is>
          <t>Telecom</t>
        </is>
      </c>
      <c r="I183" s="2" t="inlineStr">
        <is>
          <t>INV-44116</t>
        </is>
      </c>
      <c r="J183" s="2" t="inlineStr">
        <is>
          <t>One-time</t>
        </is>
      </c>
      <c r="K183" s="2" t="inlineStr">
        <is>
          <t>Processed</t>
        </is>
      </c>
      <c r="M183">
        <f>COUNTIFS($C$3:$C$500,C183,$E$3:$E$500,E183)</f>
        <v/>
      </c>
    </row>
    <row r="184">
      <c r="A184" s="5" t="inlineStr">
        <is>
          <t>TXN0182</t>
        </is>
      </c>
      <c r="B184" s="6" t="n">
        <v>45420</v>
      </c>
      <c r="C184" s="5" t="inlineStr">
        <is>
          <t>Pak Elektron Limited</t>
        </is>
      </c>
      <c r="D184" s="5" t="inlineStr">
        <is>
          <t>Finance &amp; Accounts</t>
        </is>
      </c>
      <c r="E184" s="7" t="n">
        <v>599186</v>
      </c>
      <c r="F184" s="5" t="inlineStr">
        <is>
          <t>Bank Transfer</t>
        </is>
      </c>
      <c r="G184" s="5" t="inlineStr">
        <is>
          <t>Omer Saleem (CFO)</t>
        </is>
      </c>
      <c r="H184" s="5" t="inlineStr">
        <is>
          <t>Hardware</t>
        </is>
      </c>
      <c r="I184" s="5" t="inlineStr">
        <is>
          <t>INV-68341</t>
        </is>
      </c>
      <c r="J184" s="5" t="n"/>
      <c r="K184" s="5" t="inlineStr">
        <is>
          <t>Processed</t>
        </is>
      </c>
      <c r="M184">
        <f>COUNTIFS($C$3:$C$500,C184,$E$3:$E$500,E184)</f>
        <v/>
      </c>
    </row>
    <row r="185">
      <c r="A185" s="2" t="inlineStr">
        <is>
          <t>TXN0183</t>
        </is>
      </c>
      <c r="B185" s="3" t="n">
        <v>45664</v>
      </c>
      <c r="C185" s="2" t="inlineStr">
        <is>
          <t>Nestle Pakistan</t>
        </is>
      </c>
      <c r="D185" s="2" t="inlineStr">
        <is>
          <t>Operations</t>
        </is>
      </c>
      <c r="E185" s="4" t="n">
        <v>60410</v>
      </c>
      <c r="F185" s="2" t="inlineStr">
        <is>
          <t>RTGS</t>
        </is>
      </c>
      <c r="G185" s="2" t="inlineStr">
        <is>
          <t>Zara Malik (CFO Office)</t>
        </is>
      </c>
      <c r="H185" s="2" t="inlineStr">
        <is>
          <t>Office Supplies</t>
        </is>
      </c>
      <c r="I185" s="2" t="inlineStr">
        <is>
          <t>INV-30644</t>
        </is>
      </c>
      <c r="J185" s="2" t="n"/>
      <c r="K185" s="2" t="inlineStr">
        <is>
          <t>Processed</t>
        </is>
      </c>
      <c r="M185">
        <f>COUNTIFS($C$3:$C$500,C185,$E$3:$E$500,E185)</f>
        <v/>
      </c>
    </row>
    <row r="186">
      <c r="A186" s="5" t="inlineStr">
        <is>
          <t>TXN0184</t>
        </is>
      </c>
      <c r="B186" s="6" t="n">
        <v>45454</v>
      </c>
      <c r="C186" s="5" t="inlineStr">
        <is>
          <t>Pearl Continental Karachi</t>
        </is>
      </c>
      <c r="D186" s="5" t="inlineStr">
        <is>
          <t>Finance &amp; Accounts</t>
        </is>
      </c>
      <c r="E186" s="7" t="n">
        <v>70953</v>
      </c>
      <c r="F186" s="5" t="inlineStr">
        <is>
          <t>Cheque</t>
        </is>
      </c>
      <c r="G186" s="5" t="inlineStr">
        <is>
          <t>Sara Ahmed (VP Finance)</t>
        </is>
      </c>
      <c r="H186" s="5" t="inlineStr">
        <is>
          <t>Travel &amp; Accommodation</t>
        </is>
      </c>
      <c r="I186" s="5" t="inlineStr">
        <is>
          <t>INV-13445</t>
        </is>
      </c>
      <c r="J186" s="5" t="inlineStr">
        <is>
          <t>Recurring</t>
        </is>
      </c>
      <c r="K186" s="5" t="inlineStr">
        <is>
          <t>Pending</t>
        </is>
      </c>
      <c r="M186">
        <f>COUNTIFS($C$3:$C$500,C186,$E$3:$E$500,E186)</f>
        <v/>
      </c>
    </row>
    <row r="187">
      <c r="A187" s="2" t="inlineStr">
        <is>
          <t>TXN0185</t>
        </is>
      </c>
      <c r="B187" s="3" t="n">
        <v>45427</v>
      </c>
      <c r="C187" s="2" t="inlineStr">
        <is>
          <t>Al-Fatah Electronics</t>
        </is>
      </c>
      <c r="D187" s="2" t="inlineStr">
        <is>
          <t>Operations</t>
        </is>
      </c>
      <c r="E187" s="4" t="n">
        <v>45604</v>
      </c>
      <c r="F187" s="2" t="inlineStr">
        <is>
          <t>RTGS</t>
        </is>
      </c>
      <c r="G187" s="2" t="inlineStr">
        <is>
          <t>Usman Tariq (Finance Manager)</t>
        </is>
      </c>
      <c r="H187" s="2" t="inlineStr">
        <is>
          <t>Office Supplies</t>
        </is>
      </c>
      <c r="I187" s="2" t="inlineStr">
        <is>
          <t>INV-62187</t>
        </is>
      </c>
      <c r="J187" s="2" t="inlineStr">
        <is>
          <t>One-time</t>
        </is>
      </c>
      <c r="K187" s="2" t="inlineStr">
        <is>
          <t>Pending</t>
        </is>
      </c>
      <c r="M187">
        <f>COUNTIFS($C$3:$C$500,C187,$E$3:$E$500,E187)</f>
        <v/>
      </c>
    </row>
    <row r="188">
      <c r="A188" s="5" t="inlineStr">
        <is>
          <t>TXN0186</t>
        </is>
      </c>
      <c r="B188" s="6" t="n">
        <v>45545</v>
      </c>
      <c r="C188" s="5" t="inlineStr">
        <is>
          <t>TCS Couriers</t>
        </is>
      </c>
      <c r="D188" s="5" t="inlineStr">
        <is>
          <t>Operations</t>
        </is>
      </c>
      <c r="E188" s="7" t="n">
        <v>15733</v>
      </c>
      <c r="F188" s="5" t="inlineStr">
        <is>
          <t>Cheque</t>
        </is>
      </c>
      <c r="G188" s="5" t="inlineStr">
        <is>
          <t>Usman Tariq (Finance Manager)</t>
        </is>
      </c>
      <c r="H188" s="5" t="inlineStr">
        <is>
          <t>Courier &amp; Logistics</t>
        </is>
      </c>
      <c r="I188" s="5" t="inlineStr">
        <is>
          <t>INV-71057</t>
        </is>
      </c>
      <c r="J188" s="5" t="inlineStr">
        <is>
          <t>Urgent</t>
        </is>
      </c>
      <c r="K188" s="5" t="inlineStr">
        <is>
          <t>Processed</t>
        </is>
      </c>
      <c r="M188">
        <f>COUNTIFS($C$3:$C$500,C188,$E$3:$E$500,E188)</f>
        <v/>
      </c>
    </row>
    <row r="189">
      <c r="A189" s="2" t="inlineStr">
        <is>
          <t>TXN0187</t>
        </is>
      </c>
      <c r="B189" s="3" t="n">
        <v>45449</v>
      </c>
      <c r="C189" s="2" t="inlineStr">
        <is>
          <t>Teradata Pakistan</t>
        </is>
      </c>
      <c r="D189" s="2" t="inlineStr">
        <is>
          <t>Compliance</t>
        </is>
      </c>
      <c r="E189" s="4" t="n">
        <v>794700</v>
      </c>
      <c r="F189" s="2" t="inlineStr">
        <is>
          <t>Bank Transfer</t>
        </is>
      </c>
      <c r="G189" s="2" t="inlineStr">
        <is>
          <t>Omer Saleem (CFO)</t>
        </is>
      </c>
      <c r="H189" s="2" t="inlineStr">
        <is>
          <t>IT Services</t>
        </is>
      </c>
      <c r="I189" s="2" t="inlineStr">
        <is>
          <t>INV-26274</t>
        </is>
      </c>
      <c r="J189" s="2" t="inlineStr">
        <is>
          <t>Urgent</t>
        </is>
      </c>
      <c r="K189" s="2" t="inlineStr">
        <is>
          <t>Processed</t>
        </is>
      </c>
      <c r="M189">
        <f>COUNTIFS($C$3:$C$500,C189,$E$3:$E$500,E189)</f>
        <v/>
      </c>
    </row>
    <row r="190">
      <c r="A190" s="5" t="inlineStr">
        <is>
          <t>TXN0188</t>
        </is>
      </c>
      <c r="B190" s="6" t="n">
        <v>45498</v>
      </c>
      <c r="C190" s="5" t="inlineStr">
        <is>
          <t>UBL Corporate</t>
        </is>
      </c>
      <c r="D190" s="5" t="inlineStr">
        <is>
          <t>Technology</t>
        </is>
      </c>
      <c r="E190" s="7" t="n">
        <v>52362</v>
      </c>
      <c r="F190" s="5" t="inlineStr">
        <is>
          <t>RTGS</t>
        </is>
      </c>
      <c r="G190" s="5" t="inlineStr">
        <is>
          <t>Zara Malik (CFO Office)</t>
        </is>
      </c>
      <c r="H190" s="5" t="inlineStr">
        <is>
          <t>Banking Services</t>
        </is>
      </c>
      <c r="I190" s="5" t="inlineStr">
        <is>
          <t>INV-20336</t>
        </is>
      </c>
      <c r="J190" s="5" t="n"/>
      <c r="K190" s="5" t="inlineStr">
        <is>
          <t>Processed</t>
        </is>
      </c>
      <c r="M190">
        <f>COUNTIFS($C$3:$C$500,C190,$E$3:$E$500,E190)</f>
        <v/>
      </c>
    </row>
    <row r="191">
      <c r="A191" s="2" t="inlineStr">
        <is>
          <t>TXN0189</t>
        </is>
      </c>
      <c r="B191" s="3" t="n">
        <v>45538</v>
      </c>
      <c r="C191" s="2" t="inlineStr">
        <is>
          <t>Singer Pakistan</t>
        </is>
      </c>
      <c r="D191" s="2" t="inlineStr">
        <is>
          <t>Compliance</t>
        </is>
      </c>
      <c r="E191" s="4" t="n">
        <v>32883</v>
      </c>
      <c r="F191" s="2" t="inlineStr">
        <is>
          <t>Bank Transfer</t>
        </is>
      </c>
      <c r="G191" s="2" t="inlineStr">
        <is>
          <t>Usman Tariq (Finance Manager)</t>
        </is>
      </c>
      <c r="H191" s="2" t="inlineStr">
        <is>
          <t>Office Supplies</t>
        </is>
      </c>
      <c r="I191" s="2" t="inlineStr">
        <is>
          <t>INV-87569</t>
        </is>
      </c>
      <c r="J191" s="2" t="n"/>
      <c r="K191" s="2" t="inlineStr">
        <is>
          <t>Processed</t>
        </is>
      </c>
      <c r="M191">
        <f>COUNTIFS($C$3:$C$500,C191,$E$3:$E$500,E191)</f>
        <v/>
      </c>
    </row>
    <row r="192">
      <c r="A192" s="5" t="inlineStr">
        <is>
          <t>TXN0190</t>
        </is>
      </c>
      <c r="B192" s="6" t="n">
        <v>45671</v>
      </c>
      <c r="C192" s="5" t="inlineStr">
        <is>
          <t>Nestle Pakistan</t>
        </is>
      </c>
      <c r="D192" s="5" t="inlineStr">
        <is>
          <t>Marketing</t>
        </is>
      </c>
      <c r="E192" s="7" t="n">
        <v>65605</v>
      </c>
      <c r="F192" s="5" t="inlineStr">
        <is>
          <t>Bank Transfer</t>
        </is>
      </c>
      <c r="G192" s="5" t="inlineStr">
        <is>
          <t>Sara Ahmed (VP Finance)</t>
        </is>
      </c>
      <c r="H192" s="5" t="inlineStr">
        <is>
          <t>Office Supplies</t>
        </is>
      </c>
      <c r="I192" s="5" t="inlineStr">
        <is>
          <t>INV-20646</t>
        </is>
      </c>
      <c r="J192" s="5" t="n"/>
      <c r="K192" s="5" t="inlineStr">
        <is>
          <t>Under Review</t>
        </is>
      </c>
      <c r="M192">
        <f>COUNTIFS($C$3:$C$500,C192,$E$3:$E$500,E192)</f>
        <v/>
      </c>
    </row>
    <row r="193">
      <c r="A193" s="2" t="inlineStr">
        <is>
          <t>TXN0191</t>
        </is>
      </c>
      <c r="B193" s="3" t="n">
        <v>45699</v>
      </c>
      <c r="C193" s="2" t="inlineStr">
        <is>
          <t>MCB Bank Ltd</t>
        </is>
      </c>
      <c r="D193" s="2" t="inlineStr">
        <is>
          <t>Customer Experience</t>
        </is>
      </c>
      <c r="E193" s="4" t="n">
        <v>60303</v>
      </c>
      <c r="F193" s="2" t="inlineStr">
        <is>
          <t>Cheque</t>
        </is>
      </c>
      <c r="G193" s="2" t="inlineStr">
        <is>
          <t>Sara Ahmed (VP Finance)</t>
        </is>
      </c>
      <c r="H193" s="2" t="inlineStr">
        <is>
          <t>Banking Services</t>
        </is>
      </c>
      <c r="I193" s="2" t="inlineStr">
        <is>
          <t>INV-92203</t>
        </is>
      </c>
      <c r="J193" s="2" t="inlineStr">
        <is>
          <t>Urgent</t>
        </is>
      </c>
      <c r="K193" s="2" t="inlineStr">
        <is>
          <t>Processed</t>
        </is>
      </c>
      <c r="M193">
        <f>COUNTIFS($C$3:$C$500,C193,$E$3:$E$500,E193)</f>
        <v/>
      </c>
    </row>
    <row r="194">
      <c r="A194" s="5" t="inlineStr">
        <is>
          <t>TXN0192</t>
        </is>
      </c>
      <c r="B194" s="6" t="n">
        <v>45733</v>
      </c>
      <c r="C194" s="5" t="inlineStr">
        <is>
          <t>Punjab Beverages</t>
        </is>
      </c>
      <c r="D194" s="5" t="inlineStr">
        <is>
          <t>Finance &amp; Accounts</t>
        </is>
      </c>
      <c r="E194" s="7" t="n">
        <v>48509</v>
      </c>
      <c r="F194" s="5" t="inlineStr">
        <is>
          <t>RTGS</t>
        </is>
      </c>
      <c r="G194" s="5" t="inlineStr">
        <is>
          <t>Bilal Khan (Head Ops)</t>
        </is>
      </c>
      <c r="H194" s="5" t="inlineStr">
        <is>
          <t>Office Supplies</t>
        </is>
      </c>
      <c r="I194" s="5" t="inlineStr">
        <is>
          <t>INV-69446</t>
        </is>
      </c>
      <c r="J194" s="5" t="n"/>
      <c r="K194" s="5" t="inlineStr">
        <is>
          <t>Processed</t>
        </is>
      </c>
      <c r="M194">
        <f>COUNTIFS($C$3:$C$500,C194,$E$3:$E$500,E194)</f>
        <v/>
      </c>
    </row>
    <row r="195">
      <c r="A195" s="2" t="inlineStr">
        <is>
          <t>TXN0193</t>
        </is>
      </c>
      <c r="B195" s="3" t="n">
        <v>45693</v>
      </c>
      <c r="C195" s="2" t="inlineStr">
        <is>
          <t>Mobilink (Jazz)</t>
        </is>
      </c>
      <c r="D195" s="2" t="inlineStr">
        <is>
          <t>HR &amp; Admin</t>
        </is>
      </c>
      <c r="E195" s="4" t="n">
        <v>78256</v>
      </c>
      <c r="F195" s="2" t="inlineStr">
        <is>
          <t>Online Transfer</t>
        </is>
      </c>
      <c r="G195" s="2" t="inlineStr">
        <is>
          <t>Sara Ahmed (VP Finance)</t>
        </is>
      </c>
      <c r="H195" s="2" t="inlineStr">
        <is>
          <t>Telecom</t>
        </is>
      </c>
      <c r="I195" s="2" t="inlineStr">
        <is>
          <t>INV-51853</t>
        </is>
      </c>
      <c r="J195" s="2" t="inlineStr">
        <is>
          <t>Recurring</t>
        </is>
      </c>
      <c r="K195" s="2" t="inlineStr">
        <is>
          <t>Processed</t>
        </is>
      </c>
      <c r="M195">
        <f>COUNTIFS($C$3:$C$500,C195,$E$3:$E$500,E195)</f>
        <v/>
      </c>
    </row>
    <row r="196">
      <c r="A196" s="5" t="inlineStr">
        <is>
          <t>TXN0194</t>
        </is>
      </c>
      <c r="B196" s="6" t="n">
        <v>45546</v>
      </c>
      <c r="C196" s="5" t="inlineStr">
        <is>
          <t>Teradata Pakistan</t>
        </is>
      </c>
      <c r="D196" s="5" t="inlineStr">
        <is>
          <t>Operations</t>
        </is>
      </c>
      <c r="E196" s="7" t="n">
        <v>662581</v>
      </c>
      <c r="F196" s="5" t="inlineStr">
        <is>
          <t>Cheque</t>
        </is>
      </c>
      <c r="G196" s="5" t="inlineStr">
        <is>
          <t>Omer Saleem (CFO)</t>
        </is>
      </c>
      <c r="H196" s="5" t="inlineStr">
        <is>
          <t>IT Services</t>
        </is>
      </c>
      <c r="I196" s="5" t="inlineStr">
        <is>
          <t>INV-26059</t>
        </is>
      </c>
      <c r="J196" s="5" t="n"/>
      <c r="K196" s="5" t="inlineStr">
        <is>
          <t>Processed</t>
        </is>
      </c>
      <c r="M196">
        <f>COUNTIFS($C$3:$C$500,C196,$E$3:$E$500,E196)</f>
        <v/>
      </c>
    </row>
    <row r="197">
      <c r="A197" s="2" t="inlineStr">
        <is>
          <t>TXN0195</t>
        </is>
      </c>
      <c r="B197" s="3" t="n">
        <v>45531</v>
      </c>
      <c r="C197" s="2" t="inlineStr">
        <is>
          <t>Allied Bank Limited</t>
        </is>
      </c>
      <c r="D197" s="2" t="inlineStr">
        <is>
          <t>Technology</t>
        </is>
      </c>
      <c r="E197" s="4" t="n">
        <v>39365</v>
      </c>
      <c r="F197" s="2" t="inlineStr">
        <is>
          <t>Online Transfer</t>
        </is>
      </c>
      <c r="G197" s="2" t="inlineStr">
        <is>
          <t>Bilal Khan (Head Ops)</t>
        </is>
      </c>
      <c r="H197" s="2" t="inlineStr">
        <is>
          <t>Banking Services</t>
        </is>
      </c>
      <c r="I197" s="2" t="inlineStr">
        <is>
          <t>INV-42541</t>
        </is>
      </c>
      <c r="J197" s="2" t="n"/>
      <c r="K197" s="2" t="inlineStr">
        <is>
          <t>Processed</t>
        </is>
      </c>
      <c r="M197">
        <f>COUNTIFS($C$3:$C$500,C197,$E$3:$E$500,E197)</f>
        <v/>
      </c>
    </row>
    <row r="198">
      <c r="A198" s="5" t="inlineStr">
        <is>
          <t>TXN0196</t>
        </is>
      </c>
      <c r="B198" s="6" t="n">
        <v>45464</v>
      </c>
      <c r="C198" s="5" t="inlineStr">
        <is>
          <t>Al-Fatah Electronics</t>
        </is>
      </c>
      <c r="D198" s="5" t="inlineStr">
        <is>
          <t>Risk Management</t>
        </is>
      </c>
      <c r="E198" s="7" t="n">
        <v>36451</v>
      </c>
      <c r="F198" s="5" t="inlineStr">
        <is>
          <t>Cheque</t>
        </is>
      </c>
      <c r="G198" s="5" t="inlineStr">
        <is>
          <t>Bilal Khan (Head Ops)</t>
        </is>
      </c>
      <c r="H198" s="5" t="inlineStr">
        <is>
          <t>Office Supplies</t>
        </is>
      </c>
      <c r="I198" s="5" t="inlineStr">
        <is>
          <t>INV-75373</t>
        </is>
      </c>
      <c r="J198" s="5" t="n"/>
      <c r="K198" s="5" t="inlineStr">
        <is>
          <t>Processed</t>
        </is>
      </c>
      <c r="M198">
        <f>COUNTIFS($C$3:$C$500,C198,$E$3:$E$500,E198)</f>
        <v/>
      </c>
    </row>
    <row r="199">
      <c r="A199" s="2" t="inlineStr">
        <is>
          <t>TXN0197</t>
        </is>
      </c>
      <c r="B199" s="3" t="n">
        <v>45617</v>
      </c>
      <c r="C199" s="2" t="inlineStr">
        <is>
          <t>NetSol Technologies</t>
        </is>
      </c>
      <c r="D199" s="2" t="inlineStr">
        <is>
          <t>Technology</t>
        </is>
      </c>
      <c r="E199" s="4" t="n">
        <v>571472</v>
      </c>
      <c r="F199" s="2" t="inlineStr">
        <is>
          <t>RTGS</t>
        </is>
      </c>
      <c r="G199" s="2" t="inlineStr">
        <is>
          <t>Omer Saleem (CFO)</t>
        </is>
      </c>
      <c r="H199" s="2" t="inlineStr">
        <is>
          <t>Software License</t>
        </is>
      </c>
      <c r="I199" s="2" t="inlineStr">
        <is>
          <t>INV-86460</t>
        </is>
      </c>
      <c r="J199" s="2" t="inlineStr">
        <is>
          <t>Recurring</t>
        </is>
      </c>
      <c r="K199" s="2" t="inlineStr">
        <is>
          <t>Processed</t>
        </is>
      </c>
      <c r="M199">
        <f>COUNTIFS($C$3:$C$500,C199,$E$3:$E$500,E199)</f>
        <v/>
      </c>
    </row>
    <row r="200">
      <c r="A200" s="5" t="inlineStr">
        <is>
          <t>TXN0198</t>
        </is>
      </c>
      <c r="B200" s="6" t="n">
        <v>45657</v>
      </c>
      <c r="C200" s="5" t="inlineStr">
        <is>
          <t>Inbox Business Technologies</t>
        </is>
      </c>
      <c r="D200" s="5" t="inlineStr">
        <is>
          <t>Finance &amp; Accounts</t>
        </is>
      </c>
      <c r="E200" s="7" t="n">
        <v>647491</v>
      </c>
      <c r="F200" s="5" t="inlineStr">
        <is>
          <t>Bank Transfer</t>
        </is>
      </c>
      <c r="G200" s="5" t="inlineStr">
        <is>
          <t>Omer Saleem (CFO)</t>
        </is>
      </c>
      <c r="H200" s="5" t="inlineStr">
        <is>
          <t>IT Services</t>
        </is>
      </c>
      <c r="I200" s="5" t="inlineStr">
        <is>
          <t>INV-66482</t>
        </is>
      </c>
      <c r="J200" s="5" t="n"/>
      <c r="K200" s="5" t="inlineStr">
        <is>
          <t>Processed</t>
        </is>
      </c>
      <c r="M200">
        <f>COUNTIFS($C$3:$C$500,C200,$E$3:$E$500,E200)</f>
        <v/>
      </c>
    </row>
    <row r="201">
      <c r="A201" s="2" t="inlineStr">
        <is>
          <t>TXN0199</t>
        </is>
      </c>
      <c r="B201" s="3" t="n">
        <v>45588</v>
      </c>
      <c r="C201" s="2" t="inlineStr">
        <is>
          <t>PwC Pakistan</t>
        </is>
      </c>
      <c r="D201" s="2" t="inlineStr">
        <is>
          <t>Operations</t>
        </is>
      </c>
      <c r="E201" s="4" t="n">
        <v>585301</v>
      </c>
      <c r="F201" s="2" t="inlineStr">
        <is>
          <t>RTGS</t>
        </is>
      </c>
      <c r="G201" s="2" t="inlineStr">
        <is>
          <t>Omer Saleem (CFO)</t>
        </is>
      </c>
      <c r="H201" s="2" t="inlineStr">
        <is>
          <t>Audit &amp; Legal</t>
        </is>
      </c>
      <c r="I201" s="2" t="inlineStr">
        <is>
          <t>INV-57516</t>
        </is>
      </c>
      <c r="J201" s="2" t="inlineStr">
        <is>
          <t>Urgent</t>
        </is>
      </c>
      <c r="K201" s="2" t="inlineStr">
        <is>
          <t>Processed</t>
        </is>
      </c>
      <c r="M201">
        <f>COUNTIFS($C$3:$C$500,C201,$E$3:$E$500,E201)</f>
        <v/>
      </c>
    </row>
    <row r="202">
      <c r="A202" s="5" t="inlineStr">
        <is>
          <t>TXN0200</t>
        </is>
      </c>
      <c r="B202" s="6" t="n">
        <v>45664</v>
      </c>
      <c r="C202" s="5" t="inlineStr">
        <is>
          <t>IBM Pakistan</t>
        </is>
      </c>
      <c r="D202" s="5" t="inlineStr">
        <is>
          <t>Operations</t>
        </is>
      </c>
      <c r="E202" s="7" t="n">
        <v>656975</v>
      </c>
      <c r="F202" s="5" t="inlineStr">
        <is>
          <t>Bank Transfer</t>
        </is>
      </c>
      <c r="G202" s="5" t="inlineStr">
        <is>
          <t>Omer Saleem (CFO)</t>
        </is>
      </c>
      <c r="H202" s="5" t="inlineStr">
        <is>
          <t>IT Services</t>
        </is>
      </c>
      <c r="I202" s="5" t="inlineStr">
        <is>
          <t>INV-26864</t>
        </is>
      </c>
      <c r="J202" s="5" t="n"/>
      <c r="K202" s="5" t="inlineStr">
        <is>
          <t>Processed</t>
        </is>
      </c>
      <c r="M202">
        <f>COUNTIFS($C$3:$C$500,C202,$E$3:$E$500,E202)</f>
        <v/>
      </c>
    </row>
    <row r="203">
      <c r="A203" s="2" t="inlineStr">
        <is>
          <t>TXN0201</t>
        </is>
      </c>
      <c r="B203" s="3" t="n">
        <v>45456</v>
      </c>
      <c r="C203" s="2" t="inlineStr">
        <is>
          <t>PwC Pakistan</t>
        </is>
      </c>
      <c r="D203" s="2" t="inlineStr">
        <is>
          <t>Operations</t>
        </is>
      </c>
      <c r="E203" s="4" t="n">
        <v>791766</v>
      </c>
      <c r="F203" s="2" t="inlineStr">
        <is>
          <t>Online Transfer</t>
        </is>
      </c>
      <c r="G203" s="2" t="inlineStr">
        <is>
          <t>Omer Saleem (CFO)</t>
        </is>
      </c>
      <c r="H203" s="2" t="inlineStr">
        <is>
          <t>Audit &amp; Legal</t>
        </is>
      </c>
      <c r="I203" s="2" t="inlineStr">
        <is>
          <t>INV-75546</t>
        </is>
      </c>
      <c r="J203" s="2" t="n"/>
      <c r="K203" s="2" t="inlineStr">
        <is>
          <t>Processed</t>
        </is>
      </c>
      <c r="M203">
        <f>COUNTIFS($C$3:$C$500,C203,$E$3:$E$500,E203)</f>
        <v/>
      </c>
    </row>
    <row r="204">
      <c r="A204" s="5" t="inlineStr">
        <is>
          <t>TXN0202</t>
        </is>
      </c>
      <c r="B204" s="6" t="n">
        <v>45616</v>
      </c>
      <c r="C204" s="5" t="inlineStr">
        <is>
          <t>TechAccess Pakistan</t>
        </is>
      </c>
      <c r="D204" s="5" t="inlineStr">
        <is>
          <t>Technology</t>
        </is>
      </c>
      <c r="E204" s="7" t="n">
        <v>437826</v>
      </c>
      <c r="F204" s="5" t="inlineStr">
        <is>
          <t>Bank Transfer</t>
        </is>
      </c>
      <c r="G204" s="5" t="inlineStr">
        <is>
          <t>Omer Saleem (CFO)</t>
        </is>
      </c>
      <c r="H204" s="5" t="inlineStr">
        <is>
          <t>Hardware</t>
        </is>
      </c>
      <c r="I204" s="5" t="inlineStr">
        <is>
          <t>INV-52987</t>
        </is>
      </c>
      <c r="J204" s="5" t="inlineStr">
        <is>
          <t>Recurring</t>
        </is>
      </c>
      <c r="K204" s="5" t="inlineStr">
        <is>
          <t>Processed</t>
        </is>
      </c>
      <c r="M204">
        <f>COUNTIFS($C$3:$C$500,C204,$E$3:$E$500,E204)</f>
        <v/>
      </c>
    </row>
    <row r="205">
      <c r="A205" s="2" t="inlineStr">
        <is>
          <t>TXN0203</t>
        </is>
      </c>
      <c r="B205" s="3" t="n">
        <v>45642</v>
      </c>
      <c r="C205" s="2" t="inlineStr">
        <is>
          <t>Haidermota &amp; Co</t>
        </is>
      </c>
      <c r="D205" s="2" t="inlineStr">
        <is>
          <t>Marketing</t>
        </is>
      </c>
      <c r="E205" s="4" t="n">
        <v>313242</v>
      </c>
      <c r="F205" s="2" t="inlineStr">
        <is>
          <t>RTGS</t>
        </is>
      </c>
      <c r="G205" s="2" t="inlineStr">
        <is>
          <t>Omer Saleem (CFO)</t>
        </is>
      </c>
      <c r="H205" s="2" t="inlineStr">
        <is>
          <t>Legal Services</t>
        </is>
      </c>
      <c r="I205" s="2" t="inlineStr">
        <is>
          <t>INV-72245</t>
        </is>
      </c>
      <c r="J205" s="2" t="n"/>
      <c r="K205" s="2" t="inlineStr">
        <is>
          <t>Processed</t>
        </is>
      </c>
      <c r="M205">
        <f>COUNTIFS($C$3:$C$500,C205,$E$3:$E$500,E205)</f>
        <v/>
      </c>
    </row>
    <row r="206">
      <c r="A206" s="5" t="inlineStr">
        <is>
          <t>TXN0204</t>
        </is>
      </c>
      <c r="B206" s="6" t="n">
        <v>45681</v>
      </c>
      <c r="C206" s="5" t="inlineStr">
        <is>
          <t>KPMG Taseer Hadi</t>
        </is>
      </c>
      <c r="D206" s="5" t="inlineStr">
        <is>
          <t>Customer Experience</t>
        </is>
      </c>
      <c r="E206" s="7" t="n">
        <v>322599</v>
      </c>
      <c r="F206" s="5" t="inlineStr">
        <is>
          <t>Bank Transfer</t>
        </is>
      </c>
      <c r="G206" s="5" t="inlineStr">
        <is>
          <t>Omer Saleem (CFO)</t>
        </is>
      </c>
      <c r="H206" s="5" t="inlineStr">
        <is>
          <t>Audit &amp; Legal</t>
        </is>
      </c>
      <c r="I206" s="5" t="inlineStr">
        <is>
          <t>INV-88238</t>
        </is>
      </c>
      <c r="J206" s="5" t="inlineStr">
        <is>
          <t>One-time</t>
        </is>
      </c>
      <c r="K206" s="5" t="inlineStr">
        <is>
          <t>Processed</t>
        </is>
      </c>
      <c r="M206">
        <f>COUNTIFS($C$3:$C$500,C206,$E$3:$E$500,E206)</f>
        <v/>
      </c>
    </row>
    <row r="207">
      <c r="A207" s="2" t="inlineStr">
        <is>
          <t>TXN0205</t>
        </is>
      </c>
      <c r="B207" s="3" t="n">
        <v>45681</v>
      </c>
      <c r="C207" s="2" t="inlineStr">
        <is>
          <t>Punjab Beverages</t>
        </is>
      </c>
      <c r="D207" s="2" t="inlineStr">
        <is>
          <t>Marketing</t>
        </is>
      </c>
      <c r="E207" s="4" t="n">
        <v>54430</v>
      </c>
      <c r="F207" s="2" t="inlineStr">
        <is>
          <t>Bank Transfer</t>
        </is>
      </c>
      <c r="G207" s="2" t="inlineStr">
        <is>
          <t>Zara Malik (CFO Office)</t>
        </is>
      </c>
      <c r="H207" s="2" t="inlineStr">
        <is>
          <t>Office Supplies</t>
        </is>
      </c>
      <c r="I207" s="2" t="inlineStr">
        <is>
          <t>INV-78712</t>
        </is>
      </c>
      <c r="J207" s="2" t="inlineStr">
        <is>
          <t>Pre-approved</t>
        </is>
      </c>
      <c r="K207" s="2" t="inlineStr">
        <is>
          <t>Processed</t>
        </is>
      </c>
      <c r="M207">
        <f>COUNTIFS($C$3:$C$500,C207,$E$3:$E$500,E207)</f>
        <v/>
      </c>
    </row>
    <row r="208">
      <c r="A208" s="5" t="inlineStr">
        <is>
          <t>TXN0206</t>
        </is>
      </c>
      <c r="B208" s="6" t="n">
        <v>45392</v>
      </c>
      <c r="C208" s="5" t="inlineStr">
        <is>
          <t>Allied Bank Limited</t>
        </is>
      </c>
      <c r="D208" s="5" t="inlineStr">
        <is>
          <t>Technology</t>
        </is>
      </c>
      <c r="E208" s="7" t="n">
        <v>102694</v>
      </c>
      <c r="F208" s="5" t="inlineStr">
        <is>
          <t>Online Transfer</t>
        </is>
      </c>
      <c r="G208" s="5" t="inlineStr">
        <is>
          <t>Zara Malik (CFO Office)</t>
        </is>
      </c>
      <c r="H208" s="5" t="inlineStr">
        <is>
          <t>Banking Services</t>
        </is>
      </c>
      <c r="I208" s="5" t="inlineStr">
        <is>
          <t>INV-64890</t>
        </is>
      </c>
      <c r="J208" s="5" t="n"/>
      <c r="K208" s="5" t="inlineStr">
        <is>
          <t>Processed</t>
        </is>
      </c>
      <c r="M208">
        <f>COUNTIFS($C$3:$C$500,C208,$E$3:$E$500,E208)</f>
        <v/>
      </c>
    </row>
    <row r="209">
      <c r="A209" s="2" t="inlineStr">
        <is>
          <t>TXN0207</t>
        </is>
      </c>
      <c r="B209" s="3" t="n">
        <v>45414</v>
      </c>
      <c r="C209" s="2" t="inlineStr">
        <is>
          <t>Zong Business</t>
        </is>
      </c>
      <c r="D209" s="2" t="inlineStr">
        <is>
          <t>Operations</t>
        </is>
      </c>
      <c r="E209" s="4" t="n">
        <v>89347</v>
      </c>
      <c r="F209" s="2" t="inlineStr">
        <is>
          <t>RTGS</t>
        </is>
      </c>
      <c r="G209" s="2" t="inlineStr">
        <is>
          <t>Sara Ahmed (VP Finance)</t>
        </is>
      </c>
      <c r="H209" s="2" t="inlineStr">
        <is>
          <t>Telecom</t>
        </is>
      </c>
      <c r="I209" s="2" t="inlineStr">
        <is>
          <t>INV-83516</t>
        </is>
      </c>
      <c r="J209" s="2" t="inlineStr">
        <is>
          <t>Recurring</t>
        </is>
      </c>
      <c r="K209" s="2" t="inlineStr">
        <is>
          <t>Processed</t>
        </is>
      </c>
      <c r="M209">
        <f>COUNTIFS($C$3:$C$500,C209,$E$3:$E$500,E209)</f>
        <v/>
      </c>
    </row>
    <row r="210">
      <c r="A210" s="5" t="inlineStr">
        <is>
          <t>TXN0208</t>
        </is>
      </c>
      <c r="B210" s="6" t="n">
        <v>45618</v>
      </c>
      <c r="C210" s="5" t="inlineStr">
        <is>
          <t>Marriott Islamabad</t>
        </is>
      </c>
      <c r="D210" s="5" t="inlineStr">
        <is>
          <t>Operations</t>
        </is>
      </c>
      <c r="E210" s="7" t="n">
        <v>120932</v>
      </c>
      <c r="F210" s="5" t="inlineStr">
        <is>
          <t>Online Transfer</t>
        </is>
      </c>
      <c r="G210" s="5" t="inlineStr">
        <is>
          <t>Zara Malik (CFO Office)</t>
        </is>
      </c>
      <c r="H210" s="5" t="inlineStr">
        <is>
          <t>Travel &amp; Accommodation</t>
        </is>
      </c>
      <c r="I210" s="5" t="inlineStr">
        <is>
          <t>INV-98587</t>
        </is>
      </c>
      <c r="J210" s="5" t="n"/>
      <c r="K210" s="5" t="inlineStr">
        <is>
          <t>Under Review</t>
        </is>
      </c>
      <c r="M210">
        <f>COUNTIFS($C$3:$C$500,C210,$E$3:$E$500,E210)</f>
        <v/>
      </c>
    </row>
    <row r="211">
      <c r="A211" s="2" t="inlineStr">
        <is>
          <t>TXN0209</t>
        </is>
      </c>
      <c r="B211" s="3" t="n">
        <v>45498</v>
      </c>
      <c r="C211" s="2" t="inlineStr">
        <is>
          <t>National Logistic Cell</t>
        </is>
      </c>
      <c r="D211" s="2" t="inlineStr">
        <is>
          <t>Finance &amp; Accounts</t>
        </is>
      </c>
      <c r="E211" s="4" t="n">
        <v>29573</v>
      </c>
      <c r="F211" s="2" t="inlineStr">
        <is>
          <t>RTGS</t>
        </is>
      </c>
      <c r="G211" s="2" t="inlineStr">
        <is>
          <t>Bilal Khan (Head Ops)</t>
        </is>
      </c>
      <c r="H211" s="2" t="inlineStr">
        <is>
          <t>Courier &amp; Logistics</t>
        </is>
      </c>
      <c r="I211" s="2" t="inlineStr">
        <is>
          <t>INV-37168</t>
        </is>
      </c>
      <c r="J211" s="2" t="inlineStr">
        <is>
          <t>One-time</t>
        </is>
      </c>
      <c r="K211" s="2" t="inlineStr">
        <is>
          <t>Processed</t>
        </is>
      </c>
      <c r="M211">
        <f>COUNTIFS($C$3:$C$500,C211,$E$3:$E$500,E211)</f>
        <v/>
      </c>
    </row>
    <row r="212">
      <c r="A212" s="5" t="inlineStr">
        <is>
          <t>TXN0210</t>
        </is>
      </c>
      <c r="B212" s="6" t="n">
        <v>45530</v>
      </c>
      <c r="C212" s="5" t="inlineStr">
        <is>
          <t>National Logistic Cell</t>
        </is>
      </c>
      <c r="D212" s="5" t="inlineStr">
        <is>
          <t>Operations</t>
        </is>
      </c>
      <c r="E212" s="7" t="n">
        <v>50059</v>
      </c>
      <c r="F212" s="5" t="inlineStr">
        <is>
          <t>Online Transfer</t>
        </is>
      </c>
      <c r="G212" s="5" t="inlineStr">
        <is>
          <t>Sara Ahmed (VP Finance)</t>
        </is>
      </c>
      <c r="H212" s="5" t="inlineStr">
        <is>
          <t>Courier &amp; Logistics</t>
        </is>
      </c>
      <c r="I212" s="5" t="inlineStr">
        <is>
          <t>INV-61712</t>
        </is>
      </c>
      <c r="J212" s="5" t="inlineStr">
        <is>
          <t>Recurring</t>
        </is>
      </c>
      <c r="K212" s="5" t="inlineStr">
        <is>
          <t>Processed</t>
        </is>
      </c>
      <c r="M212">
        <f>COUNTIFS($C$3:$C$500,C212,$E$3:$E$500,E212)</f>
        <v/>
      </c>
    </row>
    <row r="213">
      <c r="A213" s="2" t="inlineStr">
        <is>
          <t>TXN0211</t>
        </is>
      </c>
      <c r="B213" s="3" t="n">
        <v>45560</v>
      </c>
      <c r="C213" s="2" t="inlineStr">
        <is>
          <t>Meezan Bank Ltd</t>
        </is>
      </c>
      <c r="D213" s="2" t="inlineStr">
        <is>
          <t>Technology</t>
        </is>
      </c>
      <c r="E213" s="4" t="n">
        <v>64841</v>
      </c>
      <c r="F213" s="2" t="inlineStr">
        <is>
          <t>RTGS</t>
        </is>
      </c>
      <c r="G213" s="2" t="inlineStr">
        <is>
          <t>Zara Malik (CFO Office)</t>
        </is>
      </c>
      <c r="H213" s="2" t="inlineStr">
        <is>
          <t>Banking Services</t>
        </is>
      </c>
      <c r="I213" s="2" t="inlineStr">
        <is>
          <t>INV-72793</t>
        </is>
      </c>
      <c r="J213" s="2" t="n"/>
      <c r="K213" s="2" t="inlineStr">
        <is>
          <t>Processed</t>
        </is>
      </c>
      <c r="M213">
        <f>COUNTIFS($C$3:$C$500,C213,$E$3:$E$500,E213)</f>
        <v/>
      </c>
    </row>
    <row r="214">
      <c r="A214" s="5" t="inlineStr">
        <is>
          <t>TXN0212</t>
        </is>
      </c>
      <c r="B214" s="6" t="n">
        <v>45698</v>
      </c>
      <c r="C214" s="5" t="inlineStr">
        <is>
          <t>Serena Hotel Lahore</t>
        </is>
      </c>
      <c r="D214" s="5" t="inlineStr">
        <is>
          <t>Finance &amp; Accounts</t>
        </is>
      </c>
      <c r="E214" s="7" t="n">
        <v>109299</v>
      </c>
      <c r="F214" s="5" t="inlineStr">
        <is>
          <t>RTGS</t>
        </is>
      </c>
      <c r="G214" s="5" t="inlineStr">
        <is>
          <t>Sara Ahmed (VP Finance)</t>
        </is>
      </c>
      <c r="H214" s="5" t="inlineStr">
        <is>
          <t>Travel &amp; Accommodation</t>
        </is>
      </c>
      <c r="I214" s="5" t="inlineStr">
        <is>
          <t>INV-16653</t>
        </is>
      </c>
      <c r="J214" s="5" t="inlineStr">
        <is>
          <t>Urgent</t>
        </is>
      </c>
      <c r="K214" s="5" t="inlineStr">
        <is>
          <t>Processed</t>
        </is>
      </c>
      <c r="M214">
        <f>COUNTIFS($C$3:$C$500,C214,$E$3:$E$500,E214)</f>
        <v/>
      </c>
    </row>
    <row r="215">
      <c r="A215" s="2" t="inlineStr">
        <is>
          <t>TXN0213</t>
        </is>
      </c>
      <c r="B215" s="3" t="n">
        <v>45594</v>
      </c>
      <c r="C215" s="2" t="inlineStr">
        <is>
          <t>Singer Pakistan</t>
        </is>
      </c>
      <c r="D215" s="2" t="inlineStr">
        <is>
          <t>Finance &amp; Accounts</t>
        </is>
      </c>
      <c r="E215" s="4" t="n">
        <v>17928</v>
      </c>
      <c r="F215" s="2" t="inlineStr">
        <is>
          <t>Cheque</t>
        </is>
      </c>
      <c r="G215" s="2" t="inlineStr">
        <is>
          <t>Bilal Khan (Head Ops)</t>
        </is>
      </c>
      <c r="H215" s="2" t="inlineStr">
        <is>
          <t>Office Supplies</t>
        </is>
      </c>
      <c r="I215" s="2" t="inlineStr">
        <is>
          <t>INV-23178</t>
        </is>
      </c>
      <c r="J215" s="2" t="n"/>
      <c r="K215" s="2" t="inlineStr">
        <is>
          <t>Processed</t>
        </is>
      </c>
      <c r="M215">
        <f>COUNTIFS($C$3:$C$500,C215,$E$3:$E$500,E215)</f>
        <v/>
      </c>
    </row>
    <row r="216">
      <c r="A216" s="5" t="inlineStr">
        <is>
          <t>TXN0214</t>
        </is>
      </c>
      <c r="B216" s="6" t="n">
        <v>45716</v>
      </c>
      <c r="C216" s="5" t="inlineStr">
        <is>
          <t>Avari Towers</t>
        </is>
      </c>
      <c r="D216" s="5" t="inlineStr">
        <is>
          <t>Technology</t>
        </is>
      </c>
      <c r="E216" s="7" t="n">
        <v>150308</v>
      </c>
      <c r="F216" s="5" t="inlineStr">
        <is>
          <t>RTGS</t>
        </is>
      </c>
      <c r="G216" s="5" t="inlineStr">
        <is>
          <t>Sara Ahmed (VP Finance)</t>
        </is>
      </c>
      <c r="H216" s="5" t="inlineStr">
        <is>
          <t>Travel &amp; Accommodation</t>
        </is>
      </c>
      <c r="I216" s="5" t="inlineStr">
        <is>
          <t>INV-52096</t>
        </is>
      </c>
      <c r="J216" s="5" t="n"/>
      <c r="K216" s="5" t="inlineStr">
        <is>
          <t>Processed</t>
        </is>
      </c>
      <c r="M216">
        <f>COUNTIFS($C$3:$C$500,C216,$E$3:$E$500,E216)</f>
        <v/>
      </c>
    </row>
    <row r="217">
      <c r="A217" s="2" t="inlineStr">
        <is>
          <t>TXN0215</t>
        </is>
      </c>
      <c r="B217" s="3" t="n">
        <v>45656</v>
      </c>
      <c r="C217" s="2" t="inlineStr">
        <is>
          <t>Oracle Pakistan Pvt Ltd</t>
        </is>
      </c>
      <c r="D217" s="2" t="inlineStr">
        <is>
          <t>Customer Experience</t>
        </is>
      </c>
      <c r="E217" s="4" t="n">
        <v>756673</v>
      </c>
      <c r="F217" s="2" t="inlineStr">
        <is>
          <t>Bank Transfer</t>
        </is>
      </c>
      <c r="G217" s="2" t="inlineStr">
        <is>
          <t>Omer Saleem (CFO)</t>
        </is>
      </c>
      <c r="H217" s="2" t="inlineStr">
        <is>
          <t>Software License</t>
        </is>
      </c>
      <c r="I217" s="2" t="inlineStr">
        <is>
          <t>INV-64773</t>
        </is>
      </c>
      <c r="J217" s="2" t="n"/>
      <c r="K217" s="2" t="inlineStr">
        <is>
          <t>Processed</t>
        </is>
      </c>
      <c r="M217">
        <f>COUNTIFS($C$3:$C$500,C217,$E$3:$E$500,E217)</f>
        <v/>
      </c>
    </row>
    <row r="218">
      <c r="A218" s="5" t="inlineStr">
        <is>
          <t>TXN0216</t>
        </is>
      </c>
      <c r="B218" s="6" t="n">
        <v>45387</v>
      </c>
      <c r="C218" s="5" t="inlineStr">
        <is>
          <t>Haidermota &amp; Co</t>
        </is>
      </c>
      <c r="D218" s="5" t="inlineStr">
        <is>
          <t>HR &amp; Admin</t>
        </is>
      </c>
      <c r="E218" s="7" t="n">
        <v>253269</v>
      </c>
      <c r="F218" s="5" t="inlineStr">
        <is>
          <t>Bank Transfer</t>
        </is>
      </c>
      <c r="G218" s="5" t="inlineStr">
        <is>
          <t>Omer Saleem (CFO)</t>
        </is>
      </c>
      <c r="H218" s="5" t="inlineStr">
        <is>
          <t>Legal Services</t>
        </is>
      </c>
      <c r="I218" s="5" t="inlineStr">
        <is>
          <t>INV-53914</t>
        </is>
      </c>
      <c r="J218" s="5" t="n"/>
      <c r="K218" s="5" t="inlineStr">
        <is>
          <t>Processed</t>
        </is>
      </c>
      <c r="M218">
        <f>COUNTIFS($C$3:$C$500,C218,$E$3:$E$500,E218)</f>
        <v/>
      </c>
    </row>
    <row r="219">
      <c r="A219" s="2" t="inlineStr">
        <is>
          <t>TXN0217</t>
        </is>
      </c>
      <c r="B219" s="3" t="n">
        <v>45622</v>
      </c>
      <c r="C219" s="2" t="inlineStr">
        <is>
          <t>Punjab Beverages</t>
        </is>
      </c>
      <c r="D219" s="2" t="inlineStr">
        <is>
          <t>Compliance</t>
        </is>
      </c>
      <c r="E219" s="4" t="n">
        <v>55300</v>
      </c>
      <c r="F219" s="2" t="inlineStr">
        <is>
          <t>RTGS</t>
        </is>
      </c>
      <c r="G219" s="2" t="inlineStr">
        <is>
          <t>Zara Malik (CFO Office)</t>
        </is>
      </c>
      <c r="H219" s="2" t="inlineStr">
        <is>
          <t>Office Supplies</t>
        </is>
      </c>
      <c r="I219" s="2" t="inlineStr">
        <is>
          <t>INV-24764</t>
        </is>
      </c>
      <c r="J219" s="2" t="inlineStr">
        <is>
          <t>Recurring</t>
        </is>
      </c>
      <c r="K219" s="2" t="inlineStr">
        <is>
          <t>Processed</t>
        </is>
      </c>
      <c r="M219">
        <f>COUNTIFS($C$3:$C$500,C219,$E$3:$E$500,E219)</f>
        <v/>
      </c>
    </row>
    <row r="220">
      <c r="A220" s="5" t="inlineStr">
        <is>
          <t>TXN0218</t>
        </is>
      </c>
      <c r="B220" s="6" t="n">
        <v>45390</v>
      </c>
      <c r="C220" s="5" t="inlineStr">
        <is>
          <t>FedEx Pakistan</t>
        </is>
      </c>
      <c r="D220" s="5" t="inlineStr">
        <is>
          <t>Customer Experience</t>
        </is>
      </c>
      <c r="E220" s="7" t="n">
        <v>28757</v>
      </c>
      <c r="F220" s="5" t="inlineStr">
        <is>
          <t>RTGS</t>
        </is>
      </c>
      <c r="G220" s="5" t="inlineStr">
        <is>
          <t>Bilal Khan (Head Ops)</t>
        </is>
      </c>
      <c r="H220" s="5" t="inlineStr">
        <is>
          <t>Courier &amp; Logistics</t>
        </is>
      </c>
      <c r="I220" s="5" t="inlineStr">
        <is>
          <t>INV-84420</t>
        </is>
      </c>
      <c r="J220" s="5" t="n"/>
      <c r="K220" s="5" t="inlineStr">
        <is>
          <t>Processed</t>
        </is>
      </c>
      <c r="M220">
        <f>COUNTIFS($C$3:$C$500,C220,$E$3:$E$500,E220)</f>
        <v/>
      </c>
    </row>
    <row r="221">
      <c r="A221" s="2" t="inlineStr">
        <is>
          <t>TXN0219</t>
        </is>
      </c>
      <c r="B221" s="3" t="n">
        <v>45646</v>
      </c>
      <c r="C221" s="2" t="inlineStr">
        <is>
          <t>Pak Elektron Limited</t>
        </is>
      </c>
      <c r="D221" s="2" t="inlineStr">
        <is>
          <t>Customer Experience</t>
        </is>
      </c>
      <c r="E221" s="4" t="n">
        <v>513041</v>
      </c>
      <c r="F221" s="2" t="inlineStr">
        <is>
          <t>Bank Transfer</t>
        </is>
      </c>
      <c r="G221" s="2" t="inlineStr">
        <is>
          <t>Omer Saleem (CFO)</t>
        </is>
      </c>
      <c r="H221" s="2" t="inlineStr">
        <is>
          <t>Hardware</t>
        </is>
      </c>
      <c r="I221" s="2" t="inlineStr">
        <is>
          <t>INV-62538</t>
        </is>
      </c>
      <c r="J221" s="2" t="n"/>
      <c r="K221" s="2" t="inlineStr">
        <is>
          <t>Processed</t>
        </is>
      </c>
      <c r="M221">
        <f>COUNTIFS($C$3:$C$500,C221,$E$3:$E$500,E221)</f>
        <v/>
      </c>
    </row>
    <row r="222">
      <c r="A222" s="5" t="inlineStr">
        <is>
          <t>TXN0220</t>
        </is>
      </c>
      <c r="B222" s="6" t="n">
        <v>45386</v>
      </c>
      <c r="C222" s="5" t="inlineStr">
        <is>
          <t>Teradata Pakistan</t>
        </is>
      </c>
      <c r="D222" s="5" t="inlineStr">
        <is>
          <t>HR &amp; Admin</t>
        </is>
      </c>
      <c r="E222" s="7" t="n">
        <v>464231</v>
      </c>
      <c r="F222" s="5" t="inlineStr">
        <is>
          <t>Online Transfer</t>
        </is>
      </c>
      <c r="G222" s="5" t="inlineStr">
        <is>
          <t>Omer Saleem (CFO)</t>
        </is>
      </c>
      <c r="H222" s="5" t="inlineStr">
        <is>
          <t>IT Services</t>
        </is>
      </c>
      <c r="I222" s="5" t="inlineStr">
        <is>
          <t>INV-40870</t>
        </is>
      </c>
      <c r="J222" s="5" t="inlineStr">
        <is>
          <t>One-time</t>
        </is>
      </c>
      <c r="K222" s="5" t="inlineStr">
        <is>
          <t>Processed</t>
        </is>
      </c>
      <c r="M222">
        <f>COUNTIFS($C$3:$C$500,C222,$E$3:$E$500,E222)</f>
        <v/>
      </c>
    </row>
    <row r="223">
      <c r="A223" s="2" t="inlineStr">
        <is>
          <t>TXN0221</t>
        </is>
      </c>
      <c r="B223" s="3" t="n">
        <v>45516</v>
      </c>
      <c r="C223" s="2" t="inlineStr">
        <is>
          <t>KPMG Taseer Hadi</t>
        </is>
      </c>
      <c r="D223" s="2" t="inlineStr">
        <is>
          <t>Finance &amp; Accounts</t>
        </is>
      </c>
      <c r="E223" s="4" t="n">
        <v>811788</v>
      </c>
      <c r="F223" s="2" t="inlineStr">
        <is>
          <t>RTGS</t>
        </is>
      </c>
      <c r="G223" s="2" t="inlineStr">
        <is>
          <t>Omer Saleem (CFO)</t>
        </is>
      </c>
      <c r="H223" s="2" t="inlineStr">
        <is>
          <t>Audit &amp; Legal</t>
        </is>
      </c>
      <c r="I223" s="2" t="inlineStr">
        <is>
          <t>INV-18142</t>
        </is>
      </c>
      <c r="J223" s="2" t="n"/>
      <c r="K223" s="2" t="inlineStr">
        <is>
          <t>Processed</t>
        </is>
      </c>
      <c r="M223">
        <f>COUNTIFS($C$3:$C$500,C223,$E$3:$E$500,E223)</f>
        <v/>
      </c>
    </row>
    <row r="224">
      <c r="A224" s="5" t="inlineStr">
        <is>
          <t>TXN0222</t>
        </is>
      </c>
      <c r="B224" s="6" t="n">
        <v>45743</v>
      </c>
      <c r="C224" s="5" t="inlineStr">
        <is>
          <t>UBL Corporate</t>
        </is>
      </c>
      <c r="D224" s="5" t="inlineStr">
        <is>
          <t>Technology</t>
        </is>
      </c>
      <c r="E224" s="7" t="n">
        <v>87218</v>
      </c>
      <c r="F224" s="5" t="inlineStr">
        <is>
          <t>Bank Transfer</t>
        </is>
      </c>
      <c r="G224" s="5" t="inlineStr">
        <is>
          <t>Zara Malik (CFO Office)</t>
        </is>
      </c>
      <c r="H224" s="5" t="inlineStr">
        <is>
          <t>Banking Services</t>
        </is>
      </c>
      <c r="I224" s="5" t="inlineStr">
        <is>
          <t>INV-93717</t>
        </is>
      </c>
      <c r="J224" s="5" t="n"/>
      <c r="K224" s="5" t="inlineStr">
        <is>
          <t>Processed</t>
        </is>
      </c>
      <c r="M224">
        <f>COUNTIFS($C$3:$C$500,C224,$E$3:$E$500,E224)</f>
        <v/>
      </c>
    </row>
    <row r="225">
      <c r="A225" s="2" t="inlineStr">
        <is>
          <t>TXN0223</t>
        </is>
      </c>
      <c r="B225" s="3" t="n">
        <v>45461</v>
      </c>
      <c r="C225" s="2" t="inlineStr">
        <is>
          <t>Pak Elektron Limited</t>
        </is>
      </c>
      <c r="D225" s="2" t="inlineStr">
        <is>
          <t>Finance &amp; Accounts</t>
        </is>
      </c>
      <c r="E225" s="4" t="n">
        <v>312807</v>
      </c>
      <c r="F225" s="2" t="inlineStr">
        <is>
          <t>Online Transfer</t>
        </is>
      </c>
      <c r="G225" s="2" t="inlineStr">
        <is>
          <t>Omer Saleem (CFO)</t>
        </is>
      </c>
      <c r="H225" s="2" t="inlineStr">
        <is>
          <t>Hardware</t>
        </is>
      </c>
      <c r="I225" s="2" t="inlineStr">
        <is>
          <t>INV-64505</t>
        </is>
      </c>
      <c r="J225" s="2" t="inlineStr">
        <is>
          <t>Urgent</t>
        </is>
      </c>
      <c r="K225" s="2" t="inlineStr">
        <is>
          <t>Processed</t>
        </is>
      </c>
      <c r="M225">
        <f>COUNTIFS($C$3:$C$500,C225,$E$3:$E$500,E225)</f>
        <v/>
      </c>
    </row>
    <row r="226">
      <c r="A226" s="5" t="inlineStr">
        <is>
          <t>TXN0224</t>
        </is>
      </c>
      <c r="B226" s="6" t="n">
        <v>45688</v>
      </c>
      <c r="C226" s="5" t="inlineStr">
        <is>
          <t>Serena Hotel Lahore</t>
        </is>
      </c>
      <c r="D226" s="5" t="inlineStr">
        <is>
          <t>Customer Experience</t>
        </is>
      </c>
      <c r="E226" s="7" t="n">
        <v>97156</v>
      </c>
      <c r="F226" s="5" t="inlineStr">
        <is>
          <t>Cheque</t>
        </is>
      </c>
      <c r="G226" s="5" t="inlineStr">
        <is>
          <t>Sara Ahmed (VP Finance)</t>
        </is>
      </c>
      <c r="H226" s="5" t="inlineStr">
        <is>
          <t>Travel &amp; Accommodation</t>
        </is>
      </c>
      <c r="I226" s="5" t="inlineStr">
        <is>
          <t>INV-79228</t>
        </is>
      </c>
      <c r="J226" s="5" t="inlineStr">
        <is>
          <t>Recurring</t>
        </is>
      </c>
      <c r="K226" s="5" t="inlineStr">
        <is>
          <t>Processed</t>
        </is>
      </c>
      <c r="M226">
        <f>COUNTIFS($C$3:$C$500,C226,$E$3:$E$500,E226)</f>
        <v/>
      </c>
    </row>
    <row r="227">
      <c r="A227" s="2" t="inlineStr">
        <is>
          <t>TXN0225</t>
        </is>
      </c>
      <c r="B227" s="3" t="n">
        <v>45657</v>
      </c>
      <c r="C227" s="2" t="inlineStr">
        <is>
          <t>Al-Fatah Electronics</t>
        </is>
      </c>
      <c r="D227" s="2" t="inlineStr">
        <is>
          <t>Technology</t>
        </is>
      </c>
      <c r="E227" s="4" t="n">
        <v>25866</v>
      </c>
      <c r="F227" s="2" t="inlineStr">
        <is>
          <t>Bank Transfer</t>
        </is>
      </c>
      <c r="G227" s="2" t="inlineStr">
        <is>
          <t>Usman Tariq (Finance Manager)</t>
        </is>
      </c>
      <c r="H227" s="2" t="inlineStr">
        <is>
          <t>Office Supplies</t>
        </is>
      </c>
      <c r="I227" s="2" t="inlineStr">
        <is>
          <t>INV-53007</t>
        </is>
      </c>
      <c r="J227" s="2" t="inlineStr">
        <is>
          <t>Urgent</t>
        </is>
      </c>
      <c r="K227" s="2" t="inlineStr">
        <is>
          <t>Processed</t>
        </is>
      </c>
      <c r="M227">
        <f>COUNTIFS($C$3:$C$500,C227,$E$3:$E$500,E227)</f>
        <v/>
      </c>
    </row>
    <row r="228">
      <c r="A228" s="5" t="inlineStr">
        <is>
          <t>TXN0226</t>
        </is>
      </c>
      <c r="B228" s="6" t="n">
        <v>45429</v>
      </c>
      <c r="C228" s="5" t="inlineStr">
        <is>
          <t>Cisco Systems Pakistan</t>
        </is>
      </c>
      <c r="D228" s="5" t="inlineStr">
        <is>
          <t>Customer Experience</t>
        </is>
      </c>
      <c r="E228" s="7" t="n">
        <v>304234</v>
      </c>
      <c r="F228" s="5" t="inlineStr">
        <is>
          <t>Bank Transfer</t>
        </is>
      </c>
      <c r="G228" s="5" t="inlineStr">
        <is>
          <t>Omer Saleem (CFO)</t>
        </is>
      </c>
      <c r="H228" s="5" t="inlineStr">
        <is>
          <t>Hardware</t>
        </is>
      </c>
      <c r="I228" s="5" t="inlineStr">
        <is>
          <t>INV-69432</t>
        </is>
      </c>
      <c r="J228" s="5" t="n"/>
      <c r="K228" s="5" t="inlineStr">
        <is>
          <t>Pending</t>
        </is>
      </c>
      <c r="M228">
        <f>COUNTIFS($C$3:$C$500,C228,$E$3:$E$500,E228)</f>
        <v/>
      </c>
    </row>
    <row r="229">
      <c r="A229" s="2" t="inlineStr">
        <is>
          <t>TXN0227</t>
        </is>
      </c>
      <c r="B229" s="3" t="n">
        <v>45727</v>
      </c>
      <c r="C229" s="2" t="inlineStr">
        <is>
          <t>TCS Couriers</t>
        </is>
      </c>
      <c r="D229" s="2" t="inlineStr">
        <is>
          <t>HR &amp; Admin</t>
        </is>
      </c>
      <c r="E229" s="4" t="n">
        <v>46748</v>
      </c>
      <c r="F229" s="2" t="inlineStr">
        <is>
          <t>Bank Transfer</t>
        </is>
      </c>
      <c r="G229" s="2" t="inlineStr">
        <is>
          <t>Bilal Khan (Head Ops)</t>
        </is>
      </c>
      <c r="H229" s="2" t="inlineStr">
        <is>
          <t>Courier &amp; Logistics</t>
        </is>
      </c>
      <c r="I229" s="2" t="inlineStr">
        <is>
          <t>INV-61897</t>
        </is>
      </c>
      <c r="J229" s="2" t="n"/>
      <c r="K229" s="2" t="inlineStr">
        <is>
          <t>Processed</t>
        </is>
      </c>
      <c r="M229">
        <f>COUNTIFS($C$3:$C$500,C229,$E$3:$E$500,E229)</f>
        <v/>
      </c>
    </row>
    <row r="230">
      <c r="A230" s="5" t="inlineStr">
        <is>
          <t>TXN0228</t>
        </is>
      </c>
      <c r="B230" s="6" t="n">
        <v>45559</v>
      </c>
      <c r="C230" s="5" t="inlineStr">
        <is>
          <t>Zong Business</t>
        </is>
      </c>
      <c r="D230" s="5" t="inlineStr">
        <is>
          <t>Marketing</t>
        </is>
      </c>
      <c r="E230" s="7" t="n">
        <v>26161</v>
      </c>
      <c r="F230" s="5" t="inlineStr">
        <is>
          <t>Bank Transfer</t>
        </is>
      </c>
      <c r="G230" s="5" t="inlineStr">
        <is>
          <t>Usman Tariq (Finance Manager)</t>
        </is>
      </c>
      <c r="H230" s="5" t="inlineStr">
        <is>
          <t>Telecom</t>
        </is>
      </c>
      <c r="I230" s="5" t="inlineStr">
        <is>
          <t>INV-19046</t>
        </is>
      </c>
      <c r="J230" s="5" t="inlineStr">
        <is>
          <t>One-time</t>
        </is>
      </c>
      <c r="K230" s="5" t="inlineStr">
        <is>
          <t>Processed</t>
        </is>
      </c>
      <c r="M230">
        <f>COUNTIFS($C$3:$C$500,C230,$E$3:$E$500,E230)</f>
        <v/>
      </c>
    </row>
    <row r="231">
      <c r="A231" s="2" t="inlineStr">
        <is>
          <t>TXN0229</t>
        </is>
      </c>
      <c r="B231" s="3" t="n">
        <v>45713</v>
      </c>
      <c r="C231" s="2" t="inlineStr">
        <is>
          <t>Meezan Bank Ltd</t>
        </is>
      </c>
      <c r="D231" s="2" t="inlineStr">
        <is>
          <t>Operations</t>
        </is>
      </c>
      <c r="E231" s="4" t="n">
        <v>51655</v>
      </c>
      <c r="F231" s="2" t="inlineStr">
        <is>
          <t>Online Transfer</t>
        </is>
      </c>
      <c r="G231" s="2" t="inlineStr">
        <is>
          <t>Zara Malik (CFO Office)</t>
        </is>
      </c>
      <c r="H231" s="2" t="inlineStr">
        <is>
          <t>Banking Services</t>
        </is>
      </c>
      <c r="I231" s="2" t="inlineStr">
        <is>
          <t>INV-60132</t>
        </is>
      </c>
      <c r="J231" s="2" t="inlineStr">
        <is>
          <t>One-time</t>
        </is>
      </c>
      <c r="K231" s="2" t="inlineStr">
        <is>
          <t>Processed</t>
        </is>
      </c>
      <c r="M231">
        <f>COUNTIFS($C$3:$C$500,C231,$E$3:$E$500,E231)</f>
        <v/>
      </c>
    </row>
    <row r="232">
      <c r="A232" s="5" t="inlineStr">
        <is>
          <t>TXN0230</t>
        </is>
      </c>
      <c r="B232" s="6" t="n">
        <v>45561</v>
      </c>
      <c r="C232" s="5" t="inlineStr">
        <is>
          <t>Axis Law Chambers</t>
        </is>
      </c>
      <c r="D232" s="5" t="inlineStr">
        <is>
          <t>Technology</t>
        </is>
      </c>
      <c r="E232" s="7" t="n">
        <v>506651</v>
      </c>
      <c r="F232" s="5" t="inlineStr">
        <is>
          <t>Bank Transfer</t>
        </is>
      </c>
      <c r="G232" s="5" t="inlineStr">
        <is>
          <t>Omer Saleem (CFO)</t>
        </is>
      </c>
      <c r="H232" s="5" t="inlineStr">
        <is>
          <t>Legal Services</t>
        </is>
      </c>
      <c r="I232" s="5" t="inlineStr">
        <is>
          <t>INV-80419</t>
        </is>
      </c>
      <c r="J232" s="5" t="inlineStr">
        <is>
          <t>Pre-approved</t>
        </is>
      </c>
      <c r="K232" s="5" t="inlineStr">
        <is>
          <t>Pending</t>
        </is>
      </c>
      <c r="M232">
        <f>COUNTIFS($C$3:$C$500,C232,$E$3:$E$500,E232)</f>
        <v/>
      </c>
    </row>
    <row r="233">
      <c r="A233" s="2" t="inlineStr">
        <is>
          <t>TXN0231</t>
        </is>
      </c>
      <c r="B233" s="3" t="n">
        <v>45394</v>
      </c>
      <c r="C233" s="2" t="inlineStr">
        <is>
          <t>Teradata Pakistan</t>
        </is>
      </c>
      <c r="D233" s="2" t="inlineStr">
        <is>
          <t>Risk Management</t>
        </is>
      </c>
      <c r="E233" s="4" t="n">
        <v>354410</v>
      </c>
      <c r="F233" s="2" t="inlineStr">
        <is>
          <t>Cheque</t>
        </is>
      </c>
      <c r="G233" s="2" t="inlineStr">
        <is>
          <t>Omer Saleem (CFO)</t>
        </is>
      </c>
      <c r="H233" s="2" t="inlineStr">
        <is>
          <t>IT Services</t>
        </is>
      </c>
      <c r="I233" s="2" t="inlineStr">
        <is>
          <t>INV-98276</t>
        </is>
      </c>
      <c r="J233" s="2" t="inlineStr">
        <is>
          <t>Urgent</t>
        </is>
      </c>
      <c r="K233" s="2" t="inlineStr">
        <is>
          <t>Processed</t>
        </is>
      </c>
      <c r="M233">
        <f>COUNTIFS($C$3:$C$500,C233,$E$3:$E$500,E233)</f>
        <v/>
      </c>
    </row>
    <row r="234">
      <c r="A234" s="5" t="inlineStr">
        <is>
          <t>TXN0232</t>
        </is>
      </c>
      <c r="B234" s="6" t="n">
        <v>45618</v>
      </c>
      <c r="C234" s="5" t="inlineStr">
        <is>
          <t>Serena Hotel Lahore</t>
        </is>
      </c>
      <c r="D234" s="5" t="inlineStr">
        <is>
          <t>Operations</t>
        </is>
      </c>
      <c r="E234" s="7" t="n">
        <v>100107</v>
      </c>
      <c r="F234" s="5" t="inlineStr">
        <is>
          <t>Bank Transfer</t>
        </is>
      </c>
      <c r="G234" s="5" t="inlineStr">
        <is>
          <t>Zara Malik (CFO Office)</t>
        </is>
      </c>
      <c r="H234" s="5" t="inlineStr">
        <is>
          <t>Travel &amp; Accommodation</t>
        </is>
      </c>
      <c r="I234" s="5" t="inlineStr">
        <is>
          <t>INV-46129</t>
        </is>
      </c>
      <c r="J234" s="5" t="n"/>
      <c r="K234" s="5" t="inlineStr">
        <is>
          <t>Processed</t>
        </is>
      </c>
      <c r="M234">
        <f>COUNTIFS($C$3:$C$500,C234,$E$3:$E$500,E234)</f>
        <v/>
      </c>
    </row>
    <row r="235">
      <c r="A235" s="2" t="inlineStr">
        <is>
          <t>TXN0233</t>
        </is>
      </c>
      <c r="B235" s="3" t="n">
        <v>45506</v>
      </c>
      <c r="C235" s="2" t="inlineStr">
        <is>
          <t>TechAccess Pakistan</t>
        </is>
      </c>
      <c r="D235" s="2" t="inlineStr">
        <is>
          <t>Customer Experience</t>
        </is>
      </c>
      <c r="E235" s="4" t="n">
        <v>520708</v>
      </c>
      <c r="F235" s="2" t="inlineStr">
        <is>
          <t>Bank Transfer</t>
        </is>
      </c>
      <c r="G235" s="2" t="inlineStr">
        <is>
          <t>Omer Saleem (CFO)</t>
        </is>
      </c>
      <c r="H235" s="2" t="inlineStr">
        <is>
          <t>Hardware</t>
        </is>
      </c>
      <c r="I235" s="2" t="inlineStr">
        <is>
          <t>INV-23224</t>
        </is>
      </c>
      <c r="J235" s="2" t="n"/>
      <c r="K235" s="2" t="inlineStr">
        <is>
          <t>Processed</t>
        </is>
      </c>
      <c r="M235">
        <f>COUNTIFS($C$3:$C$500,C235,$E$3:$E$500,E235)</f>
        <v/>
      </c>
    </row>
    <row r="236">
      <c r="A236" s="5" t="inlineStr">
        <is>
          <t>TXN0234</t>
        </is>
      </c>
      <c r="B236" s="6" t="n">
        <v>45405</v>
      </c>
      <c r="C236" s="5" t="inlineStr">
        <is>
          <t>Hafeez Centre Dealers</t>
        </is>
      </c>
      <c r="D236" s="5" t="inlineStr">
        <is>
          <t>Customer Experience</t>
        </is>
      </c>
      <c r="E236" s="7" t="n">
        <v>135896</v>
      </c>
      <c r="F236" s="5" t="inlineStr">
        <is>
          <t>Cheque</t>
        </is>
      </c>
      <c r="G236" s="5" t="inlineStr">
        <is>
          <t>Zara Malik (CFO Office)</t>
        </is>
      </c>
      <c r="H236" s="5" t="inlineStr">
        <is>
          <t>Hardware</t>
        </is>
      </c>
      <c r="I236" s="5" t="inlineStr">
        <is>
          <t>INV-40715</t>
        </is>
      </c>
      <c r="J236" s="5" t="inlineStr">
        <is>
          <t>Urgent</t>
        </is>
      </c>
      <c r="K236" s="5" t="inlineStr">
        <is>
          <t>Processed</t>
        </is>
      </c>
      <c r="M236">
        <f>COUNTIFS($C$3:$C$500,C236,$E$3:$E$500,E236)</f>
        <v/>
      </c>
    </row>
    <row r="237">
      <c r="A237" s="2" t="inlineStr">
        <is>
          <t>TXN0235</t>
        </is>
      </c>
      <c r="B237" s="3" t="n">
        <v>45502</v>
      </c>
      <c r="C237" s="2" t="inlineStr">
        <is>
          <t>Inbox Business Technologies</t>
        </is>
      </c>
      <c r="D237" s="2" t="inlineStr">
        <is>
          <t>Technology</t>
        </is>
      </c>
      <c r="E237" s="4" t="n">
        <v>285750</v>
      </c>
      <c r="F237" s="2" t="inlineStr">
        <is>
          <t>Online Transfer</t>
        </is>
      </c>
      <c r="G237" s="2" t="inlineStr">
        <is>
          <t>Usman Tariq (Finance Manager)</t>
        </is>
      </c>
      <c r="H237" s="2" t="inlineStr">
        <is>
          <t>IT Services</t>
        </is>
      </c>
      <c r="I237" s="2" t="inlineStr">
        <is>
          <t>INV-41051</t>
        </is>
      </c>
      <c r="J237" s="2" t="n"/>
      <c r="K237" s="2" t="inlineStr">
        <is>
          <t>Processed</t>
        </is>
      </c>
      <c r="M237">
        <f>COUNTIFS($C$3:$C$500,C237,$E$3:$E$500,E237)</f>
        <v/>
      </c>
    </row>
    <row r="238">
      <c r="A238" s="5" t="inlineStr">
        <is>
          <t>TXN0236</t>
        </is>
      </c>
      <c r="B238" s="6" t="n">
        <v>45523</v>
      </c>
      <c r="C238" s="5" t="inlineStr">
        <is>
          <t>Nestle Pakistan</t>
        </is>
      </c>
      <c r="D238" s="5" t="inlineStr">
        <is>
          <t>Compliance</t>
        </is>
      </c>
      <c r="E238" s="7" t="n">
        <v>34108</v>
      </c>
      <c r="F238" s="5" t="inlineStr">
        <is>
          <t>Bank Transfer</t>
        </is>
      </c>
      <c r="G238" s="5" t="inlineStr">
        <is>
          <t>Usman Tariq (Finance Manager)</t>
        </is>
      </c>
      <c r="H238" s="5" t="inlineStr">
        <is>
          <t>Office Supplies</t>
        </is>
      </c>
      <c r="I238" s="5" t="inlineStr">
        <is>
          <t>INV-92050</t>
        </is>
      </c>
      <c r="J238" s="5" t="inlineStr">
        <is>
          <t>Pre-approved</t>
        </is>
      </c>
      <c r="K238" s="5" t="inlineStr">
        <is>
          <t>Pending</t>
        </is>
      </c>
      <c r="M238">
        <f>COUNTIFS($C$3:$C$500,C238,$E$3:$E$500,E238)</f>
        <v/>
      </c>
    </row>
    <row r="239">
      <c r="A239" s="2" t="inlineStr">
        <is>
          <t>TXN0237</t>
        </is>
      </c>
      <c r="B239" s="3" t="n">
        <v>45651</v>
      </c>
      <c r="C239" s="2" t="inlineStr">
        <is>
          <t>Mashaal Movers</t>
        </is>
      </c>
      <c r="D239" s="2" t="inlineStr">
        <is>
          <t>Technology</t>
        </is>
      </c>
      <c r="E239" s="4" t="n">
        <v>37662</v>
      </c>
      <c r="F239" s="2" t="inlineStr">
        <is>
          <t>Online Transfer</t>
        </is>
      </c>
      <c r="G239" s="2" t="inlineStr">
        <is>
          <t>Bilal Khan (Head Ops)</t>
        </is>
      </c>
      <c r="H239" s="2" t="inlineStr">
        <is>
          <t>Courier &amp; Logistics</t>
        </is>
      </c>
      <c r="I239" s="2" t="inlineStr">
        <is>
          <t>INV-63511</t>
        </is>
      </c>
      <c r="J239" s="2" t="n"/>
      <c r="K239" s="2" t="inlineStr">
        <is>
          <t>Processed</t>
        </is>
      </c>
      <c r="M239">
        <f>COUNTIFS($C$3:$C$500,C239,$E$3:$E$500,E239)</f>
        <v/>
      </c>
    </row>
    <row r="240">
      <c r="A240" s="5" t="inlineStr">
        <is>
          <t>TXN0238</t>
        </is>
      </c>
      <c r="B240" s="6" t="n">
        <v>45506</v>
      </c>
      <c r="C240" s="5" t="inlineStr">
        <is>
          <t>Axis Law Chambers</t>
        </is>
      </c>
      <c r="D240" s="5" t="inlineStr">
        <is>
          <t>Technology</t>
        </is>
      </c>
      <c r="E240" s="7" t="n">
        <v>440634</v>
      </c>
      <c r="F240" s="5" t="inlineStr">
        <is>
          <t>RTGS</t>
        </is>
      </c>
      <c r="G240" s="5" t="inlineStr">
        <is>
          <t>Omer Saleem (CFO)</t>
        </is>
      </c>
      <c r="H240" s="5" t="inlineStr">
        <is>
          <t>Legal Services</t>
        </is>
      </c>
      <c r="I240" s="5" t="inlineStr">
        <is>
          <t>INV-28920</t>
        </is>
      </c>
      <c r="J240" s="5" t="inlineStr">
        <is>
          <t>One-time</t>
        </is>
      </c>
      <c r="K240" s="5" t="inlineStr">
        <is>
          <t>Processed</t>
        </is>
      </c>
      <c r="M240">
        <f>COUNTIFS($C$3:$C$500,C240,$E$3:$E$500,E240)</f>
        <v/>
      </c>
    </row>
    <row r="241">
      <c r="A241" s="2" t="inlineStr">
        <is>
          <t>TXN0239</t>
        </is>
      </c>
      <c r="B241" s="3" t="n">
        <v>45581</v>
      </c>
      <c r="C241" s="2" t="inlineStr">
        <is>
          <t>Avari Towers</t>
        </is>
      </c>
      <c r="D241" s="2" t="inlineStr">
        <is>
          <t>Operations</t>
        </is>
      </c>
      <c r="E241" s="4" t="n">
        <v>153715</v>
      </c>
      <c r="F241" s="2" t="inlineStr">
        <is>
          <t>RTGS</t>
        </is>
      </c>
      <c r="G241" s="2" t="inlineStr">
        <is>
          <t>Sara Ahmed (VP Finance)</t>
        </is>
      </c>
      <c r="H241" s="2" t="inlineStr">
        <is>
          <t>Travel &amp; Accommodation</t>
        </is>
      </c>
      <c r="I241" s="2" t="inlineStr">
        <is>
          <t>INV-36651</t>
        </is>
      </c>
      <c r="J241" s="2" t="inlineStr">
        <is>
          <t>Recurring</t>
        </is>
      </c>
      <c r="K241" s="2" t="inlineStr">
        <is>
          <t>Processed</t>
        </is>
      </c>
      <c r="M241">
        <f>COUNTIFS($C$3:$C$500,C241,$E$3:$E$500,E241)</f>
        <v/>
      </c>
    </row>
    <row r="242">
      <c r="A242" s="5" t="inlineStr">
        <is>
          <t>TXN0240</t>
        </is>
      </c>
      <c r="B242" s="6" t="n">
        <v>45520</v>
      </c>
      <c r="C242" s="5" t="inlineStr">
        <is>
          <t>Leopards Courier</t>
        </is>
      </c>
      <c r="D242" s="5" t="inlineStr">
        <is>
          <t>Operations</t>
        </is>
      </c>
      <c r="E242" s="7" t="n">
        <v>23681</v>
      </c>
      <c r="F242" s="5" t="inlineStr">
        <is>
          <t>Bank Transfer</t>
        </is>
      </c>
      <c r="G242" s="5" t="inlineStr">
        <is>
          <t>Bilal Khan (Head Ops)</t>
        </is>
      </c>
      <c r="H242" s="5" t="inlineStr">
        <is>
          <t>Courier &amp; Logistics</t>
        </is>
      </c>
      <c r="I242" s="5" t="inlineStr">
        <is>
          <t>INV-19539</t>
        </is>
      </c>
      <c r="J242" s="5" t="n"/>
      <c r="K242" s="5" t="inlineStr">
        <is>
          <t>Under Review</t>
        </is>
      </c>
      <c r="M242">
        <f>COUNTIFS($C$3:$C$500,C242,$E$3:$E$500,E242)</f>
        <v/>
      </c>
    </row>
    <row r="243">
      <c r="A243" s="2" t="inlineStr">
        <is>
          <t>TXN0241</t>
        </is>
      </c>
      <c r="B243" s="3" t="n">
        <v>45489</v>
      </c>
      <c r="C243" s="2" t="inlineStr">
        <is>
          <t>Nestle Pakistan</t>
        </is>
      </c>
      <c r="D243" s="2" t="inlineStr">
        <is>
          <t>Compliance</t>
        </is>
      </c>
      <c r="E243" s="4" t="n">
        <v>34923</v>
      </c>
      <c r="F243" s="2" t="inlineStr">
        <is>
          <t>RTGS</t>
        </is>
      </c>
      <c r="G243" s="2" t="inlineStr">
        <is>
          <t>Bilal Khan (Head Ops)</t>
        </is>
      </c>
      <c r="H243" s="2" t="inlineStr">
        <is>
          <t>Office Supplies</t>
        </is>
      </c>
      <c r="I243" s="2" t="inlineStr">
        <is>
          <t>INV-12009</t>
        </is>
      </c>
      <c r="J243" s="2" t="n"/>
      <c r="K243" s="2" t="inlineStr">
        <is>
          <t>Processed</t>
        </is>
      </c>
      <c r="M243">
        <f>COUNTIFS($C$3:$C$500,C243,$E$3:$E$500,E243)</f>
        <v/>
      </c>
    </row>
    <row r="244">
      <c r="A244" s="5" t="inlineStr">
        <is>
          <t>TXN0242</t>
        </is>
      </c>
      <c r="B244" s="6" t="n">
        <v>45692</v>
      </c>
      <c r="C244" s="5" t="inlineStr">
        <is>
          <t>Cisco Systems Pakistan</t>
        </is>
      </c>
      <c r="D244" s="5" t="inlineStr">
        <is>
          <t>Risk Management</t>
        </is>
      </c>
      <c r="E244" s="7" t="n">
        <v>587005</v>
      </c>
      <c r="F244" s="5" t="inlineStr">
        <is>
          <t>Online Transfer</t>
        </is>
      </c>
      <c r="G244" s="5" t="inlineStr">
        <is>
          <t>Omer Saleem (CFO)</t>
        </is>
      </c>
      <c r="H244" s="5" t="inlineStr">
        <is>
          <t>Hardware</t>
        </is>
      </c>
      <c r="I244" s="5" t="inlineStr">
        <is>
          <t>INV-41369</t>
        </is>
      </c>
      <c r="J244" s="5" t="inlineStr">
        <is>
          <t>Urgent</t>
        </is>
      </c>
      <c r="K244" s="5" t="inlineStr">
        <is>
          <t>Processed</t>
        </is>
      </c>
      <c r="M244">
        <f>COUNTIFS($C$3:$C$500,C244,$E$3:$E$500,E244)</f>
        <v/>
      </c>
    </row>
    <row r="245">
      <c r="A245" s="2" t="inlineStr">
        <is>
          <t>TXN0243</t>
        </is>
      </c>
      <c r="B245" s="3" t="n">
        <v>45715</v>
      </c>
      <c r="C245" s="2" t="inlineStr">
        <is>
          <t>Meezan Bank Ltd</t>
        </is>
      </c>
      <c r="D245" s="2" t="inlineStr">
        <is>
          <t>Operations</t>
        </is>
      </c>
      <c r="E245" s="4" t="n">
        <v>95702</v>
      </c>
      <c r="F245" s="2" t="inlineStr">
        <is>
          <t>RTGS</t>
        </is>
      </c>
      <c r="G245" s="2" t="inlineStr">
        <is>
          <t>Zara Malik (CFO Office)</t>
        </is>
      </c>
      <c r="H245" s="2" t="inlineStr">
        <is>
          <t>Banking Services</t>
        </is>
      </c>
      <c r="I245" s="2" t="inlineStr">
        <is>
          <t>INV-44283</t>
        </is>
      </c>
      <c r="J245" s="2" t="inlineStr">
        <is>
          <t>Recurring</t>
        </is>
      </c>
      <c r="K245" s="2" t="inlineStr">
        <is>
          <t>Pending</t>
        </is>
      </c>
      <c r="M245">
        <f>COUNTIFS($C$3:$C$500,C245,$E$3:$E$500,E245)</f>
        <v/>
      </c>
    </row>
    <row r="246">
      <c r="A246" s="5" t="inlineStr">
        <is>
          <t>TXN0244</t>
        </is>
      </c>
      <c r="B246" s="6" t="n">
        <v>45546</v>
      </c>
      <c r="C246" s="5" t="inlineStr">
        <is>
          <t>Mashaal Movers</t>
        </is>
      </c>
      <c r="D246" s="5" t="inlineStr">
        <is>
          <t>HR &amp; Admin</t>
        </is>
      </c>
      <c r="E246" s="7" t="n">
        <v>23001</v>
      </c>
      <c r="F246" s="5" t="inlineStr">
        <is>
          <t>Online Transfer</t>
        </is>
      </c>
      <c r="G246" s="5" t="inlineStr">
        <is>
          <t>Usman Tariq (Finance Manager)</t>
        </is>
      </c>
      <c r="H246" s="5" t="inlineStr">
        <is>
          <t>Courier &amp; Logistics</t>
        </is>
      </c>
      <c r="I246" s="5" t="inlineStr">
        <is>
          <t>INV-51015</t>
        </is>
      </c>
      <c r="J246" s="5" t="inlineStr">
        <is>
          <t>Pre-approved</t>
        </is>
      </c>
      <c r="K246" s="5" t="inlineStr">
        <is>
          <t>Processed</t>
        </is>
      </c>
      <c r="M246">
        <f>COUNTIFS($C$3:$C$500,C246,$E$3:$E$500,E246)</f>
        <v/>
      </c>
    </row>
    <row r="247">
      <c r="A247" s="2" t="inlineStr">
        <is>
          <t>TXN0245</t>
        </is>
      </c>
      <c r="B247" s="3" t="n">
        <v>45391</v>
      </c>
      <c r="C247" s="2" t="inlineStr">
        <is>
          <t>Al-Fatah Electronics</t>
        </is>
      </c>
      <c r="D247" s="2" t="inlineStr">
        <is>
          <t>Finance &amp; Accounts</t>
        </is>
      </c>
      <c r="E247" s="4" t="n">
        <v>63815</v>
      </c>
      <c r="F247" s="2" t="inlineStr">
        <is>
          <t>Online Transfer</t>
        </is>
      </c>
      <c r="G247" s="2" t="inlineStr">
        <is>
          <t>Zara Malik (CFO Office)</t>
        </is>
      </c>
      <c r="H247" s="2" t="inlineStr">
        <is>
          <t>Office Supplies</t>
        </is>
      </c>
      <c r="I247" s="2" t="inlineStr">
        <is>
          <t>INV-48691</t>
        </is>
      </c>
      <c r="J247" s="2" t="n"/>
      <c r="K247" s="2" t="inlineStr">
        <is>
          <t>Processed</t>
        </is>
      </c>
      <c r="M247">
        <f>COUNTIFS($C$3:$C$500,C247,$E$3:$E$500,E247)</f>
        <v/>
      </c>
    </row>
    <row r="248">
      <c r="A248" s="5" t="inlineStr">
        <is>
          <t>TXN0246</t>
        </is>
      </c>
      <c r="B248" s="6" t="n">
        <v>45638</v>
      </c>
      <c r="C248" s="5" t="inlineStr">
        <is>
          <t>KPMG Taseer Hadi</t>
        </is>
      </c>
      <c r="D248" s="5" t="inlineStr">
        <is>
          <t>Finance &amp; Accounts</t>
        </is>
      </c>
      <c r="E248" s="7" t="n">
        <v>603163</v>
      </c>
      <c r="F248" s="5" t="inlineStr">
        <is>
          <t>RTGS</t>
        </is>
      </c>
      <c r="G248" s="5" t="inlineStr">
        <is>
          <t>Omer Saleem (CFO)</t>
        </is>
      </c>
      <c r="H248" s="5" t="inlineStr">
        <is>
          <t>Audit &amp; Legal</t>
        </is>
      </c>
      <c r="I248" s="5" t="inlineStr">
        <is>
          <t>INV-74044</t>
        </is>
      </c>
      <c r="J248" s="5" t="inlineStr">
        <is>
          <t>One-time</t>
        </is>
      </c>
      <c r="K248" s="5" t="inlineStr">
        <is>
          <t>Processed</t>
        </is>
      </c>
      <c r="M248">
        <f>COUNTIFS($C$3:$C$500,C248,$E$3:$E$500,E248)</f>
        <v/>
      </c>
    </row>
    <row r="249">
      <c r="A249" s="2" t="inlineStr">
        <is>
          <t>TXN0247</t>
        </is>
      </c>
      <c r="B249" s="3" t="n">
        <v>45454</v>
      </c>
      <c r="C249" s="2" t="inlineStr">
        <is>
          <t>Mobilink (Jazz)</t>
        </is>
      </c>
      <c r="D249" s="2" t="inlineStr">
        <is>
          <t>Risk Management</t>
        </is>
      </c>
      <c r="E249" s="4" t="n">
        <v>64780</v>
      </c>
      <c r="F249" s="2" t="inlineStr">
        <is>
          <t>Bank Transfer</t>
        </is>
      </c>
      <c r="G249" s="2" t="inlineStr">
        <is>
          <t>Zara Malik (CFO Office)</t>
        </is>
      </c>
      <c r="H249" s="2" t="inlineStr">
        <is>
          <t>Telecom</t>
        </is>
      </c>
      <c r="I249" s="2" t="inlineStr">
        <is>
          <t>INV-81058</t>
        </is>
      </c>
      <c r="J249" s="2" t="n"/>
      <c r="K249" s="2" t="inlineStr">
        <is>
          <t>Pending</t>
        </is>
      </c>
      <c r="M249">
        <f>COUNTIFS($C$3:$C$500,C249,$E$3:$E$500,E249)</f>
        <v/>
      </c>
    </row>
    <row r="250">
      <c r="A250" s="5" t="inlineStr">
        <is>
          <t>TXN0248</t>
        </is>
      </c>
      <c r="B250" s="6" t="n">
        <v>45594</v>
      </c>
      <c r="C250" s="5" t="inlineStr">
        <is>
          <t>TechAccess Pakistan</t>
        </is>
      </c>
      <c r="D250" s="5" t="inlineStr">
        <is>
          <t>Technology</t>
        </is>
      </c>
      <c r="E250" s="7" t="n">
        <v>131822</v>
      </c>
      <c r="F250" s="5" t="inlineStr">
        <is>
          <t>RTGS</t>
        </is>
      </c>
      <c r="G250" s="5" t="inlineStr">
        <is>
          <t>Sara Ahmed (VP Finance)</t>
        </is>
      </c>
      <c r="H250" s="5" t="inlineStr">
        <is>
          <t>Hardware</t>
        </is>
      </c>
      <c r="I250" s="5" t="inlineStr">
        <is>
          <t>INV-18908</t>
        </is>
      </c>
      <c r="J250" s="5" t="n"/>
      <c r="K250" s="5" t="inlineStr">
        <is>
          <t>Processed</t>
        </is>
      </c>
      <c r="M250">
        <f>COUNTIFS($C$3:$C$500,C250,$E$3:$E$500,E250)</f>
        <v/>
      </c>
    </row>
    <row r="251">
      <c r="A251" s="2" t="inlineStr">
        <is>
          <t>TXN0249</t>
        </is>
      </c>
      <c r="B251" s="3" t="n">
        <v>45413</v>
      </c>
      <c r="C251" s="2" t="inlineStr">
        <is>
          <t>Zong Business</t>
        </is>
      </c>
      <c r="D251" s="2" t="inlineStr">
        <is>
          <t>Compliance</t>
        </is>
      </c>
      <c r="E251" s="4" t="n">
        <v>81731</v>
      </c>
      <c r="F251" s="2" t="inlineStr">
        <is>
          <t>Cheque</t>
        </is>
      </c>
      <c r="G251" s="2" t="inlineStr">
        <is>
          <t>Zara Malik (CFO Office)</t>
        </is>
      </c>
      <c r="H251" s="2" t="inlineStr">
        <is>
          <t>Telecom</t>
        </is>
      </c>
      <c r="I251" s="2" t="inlineStr">
        <is>
          <t>INV-12061</t>
        </is>
      </c>
      <c r="J251" s="2" t="n"/>
      <c r="K251" s="2" t="inlineStr">
        <is>
          <t>Pending</t>
        </is>
      </c>
      <c r="M251">
        <f>COUNTIFS($C$3:$C$500,C251,$E$3:$E$500,E251)</f>
        <v/>
      </c>
    </row>
    <row r="252">
      <c r="A252" s="5" t="inlineStr">
        <is>
          <t>TXN0250</t>
        </is>
      </c>
      <c r="B252" s="6" t="n">
        <v>45523</v>
      </c>
      <c r="C252" s="5" t="inlineStr">
        <is>
          <t>Avari Towers</t>
        </is>
      </c>
      <c r="D252" s="5" t="inlineStr">
        <is>
          <t>Operations</t>
        </is>
      </c>
      <c r="E252" s="7" t="n">
        <v>39227</v>
      </c>
      <c r="F252" s="5" t="inlineStr">
        <is>
          <t>Bank Transfer</t>
        </is>
      </c>
      <c r="G252" s="5" t="inlineStr">
        <is>
          <t>Bilal Khan (Head Ops)</t>
        </is>
      </c>
      <c r="H252" s="5" t="inlineStr">
        <is>
          <t>Travel &amp; Accommodation</t>
        </is>
      </c>
      <c r="I252" s="5" t="inlineStr">
        <is>
          <t>INV-75826</t>
        </is>
      </c>
      <c r="J252" s="5" t="inlineStr">
        <is>
          <t>Pre-approved</t>
        </is>
      </c>
      <c r="K252" s="5" t="inlineStr">
        <is>
          <t>Processed</t>
        </is>
      </c>
      <c r="M252">
        <f>COUNTIFS($C$3:$C$500,C252,$E$3:$E$500,E252)</f>
        <v/>
      </c>
    </row>
    <row r="253">
      <c r="A253" s="2" t="inlineStr">
        <is>
          <t>TXN0251</t>
        </is>
      </c>
      <c r="B253" s="3" t="n">
        <v>45506</v>
      </c>
      <c r="C253" s="2" t="inlineStr">
        <is>
          <t>Microsoft Pakistan</t>
        </is>
      </c>
      <c r="D253" s="2" t="inlineStr">
        <is>
          <t>Technology</t>
        </is>
      </c>
      <c r="E253" s="4" t="n">
        <v>703143</v>
      </c>
      <c r="F253" s="2" t="inlineStr">
        <is>
          <t>RTGS</t>
        </is>
      </c>
      <c r="G253" s="2" t="inlineStr">
        <is>
          <t>Omer Saleem (CFO)</t>
        </is>
      </c>
      <c r="H253" s="2" t="inlineStr">
        <is>
          <t>Software License</t>
        </is>
      </c>
      <c r="I253" s="2" t="inlineStr">
        <is>
          <t>INV-56457</t>
        </is>
      </c>
      <c r="J253" s="2" t="n"/>
      <c r="K253" s="2" t="inlineStr">
        <is>
          <t>Processed</t>
        </is>
      </c>
      <c r="M253">
        <f>COUNTIFS($C$3:$C$500,C253,$E$3:$E$500,E253)</f>
        <v/>
      </c>
    </row>
    <row r="254">
      <c r="A254" s="5" t="inlineStr">
        <is>
          <t>TXN0252</t>
        </is>
      </c>
      <c r="B254" s="6" t="n">
        <v>45672</v>
      </c>
      <c r="C254" s="5" t="inlineStr">
        <is>
          <t>Oracle Pakistan Pvt Ltd</t>
        </is>
      </c>
      <c r="D254" s="5" t="inlineStr">
        <is>
          <t>Operations</t>
        </is>
      </c>
      <c r="E254" s="7" t="n">
        <v>584117</v>
      </c>
      <c r="F254" s="5" t="inlineStr">
        <is>
          <t>RTGS</t>
        </is>
      </c>
      <c r="G254" s="5" t="inlineStr">
        <is>
          <t>Omer Saleem (CFO)</t>
        </is>
      </c>
      <c r="H254" s="5" t="inlineStr">
        <is>
          <t>Software License</t>
        </is>
      </c>
      <c r="I254" s="5" t="inlineStr">
        <is>
          <t>INV-49318</t>
        </is>
      </c>
      <c r="J254" s="5" t="n"/>
      <c r="K254" s="5" t="inlineStr">
        <is>
          <t>Processed</t>
        </is>
      </c>
      <c r="M254">
        <f>COUNTIFS($C$3:$C$500,C254,$E$3:$E$500,E254)</f>
        <v/>
      </c>
    </row>
    <row r="255">
      <c r="A255" s="2" t="inlineStr">
        <is>
          <t>TXN0253</t>
        </is>
      </c>
      <c r="B255" s="3" t="n">
        <v>45665</v>
      </c>
      <c r="C255" s="2" t="inlineStr">
        <is>
          <t>Oracle Pakistan Pvt Ltd</t>
        </is>
      </c>
      <c r="D255" s="2" t="inlineStr">
        <is>
          <t>Operations</t>
        </is>
      </c>
      <c r="E255" s="4" t="n">
        <v>554713</v>
      </c>
      <c r="F255" s="2" t="inlineStr">
        <is>
          <t>Bank Transfer</t>
        </is>
      </c>
      <c r="G255" s="2" t="inlineStr">
        <is>
          <t>Omer Saleem (CFO)</t>
        </is>
      </c>
      <c r="H255" s="2" t="inlineStr">
        <is>
          <t>Software License</t>
        </is>
      </c>
      <c r="I255" s="2" t="inlineStr">
        <is>
          <t>INV-93459</t>
        </is>
      </c>
      <c r="J255" s="2" t="n"/>
      <c r="K255" s="2" t="inlineStr">
        <is>
          <t>Processed</t>
        </is>
      </c>
      <c r="M255">
        <f>COUNTIFS($C$3:$C$500,C255,$E$3:$E$500,E255)</f>
        <v/>
      </c>
    </row>
    <row r="256">
      <c r="A256" s="5" t="inlineStr">
        <is>
          <t>TXN0254</t>
        </is>
      </c>
      <c r="B256" s="6" t="n">
        <v>45672</v>
      </c>
      <c r="C256" s="5" t="inlineStr">
        <is>
          <t>Oracle Pakistan Pvt Ltd</t>
        </is>
      </c>
      <c r="D256" s="5" t="inlineStr">
        <is>
          <t>HR &amp; Admin</t>
        </is>
      </c>
      <c r="E256" s="7" t="n">
        <v>611261</v>
      </c>
      <c r="F256" s="5" t="inlineStr">
        <is>
          <t>Bank Transfer</t>
        </is>
      </c>
      <c r="G256" s="5" t="inlineStr">
        <is>
          <t>Omer Saleem (CFO)</t>
        </is>
      </c>
      <c r="H256" s="5" t="inlineStr">
        <is>
          <t>Software License</t>
        </is>
      </c>
      <c r="I256" s="5" t="inlineStr">
        <is>
          <t>INV-40115</t>
        </is>
      </c>
      <c r="J256" s="5" t="n"/>
      <c r="K256" s="5" t="inlineStr">
        <is>
          <t>Under Review</t>
        </is>
      </c>
      <c r="M256">
        <f>COUNTIFS($C$3:$C$500,C256,$E$3:$E$500,E256)</f>
        <v/>
      </c>
    </row>
    <row r="257">
      <c r="A257" s="2" t="inlineStr">
        <is>
          <t>TXN0255</t>
        </is>
      </c>
      <c r="B257" s="3" t="n">
        <v>45733</v>
      </c>
      <c r="C257" s="2" t="inlineStr">
        <is>
          <t>National Logistic Cell</t>
        </is>
      </c>
      <c r="D257" s="2" t="inlineStr">
        <is>
          <t>Finance &amp; Accounts</t>
        </is>
      </c>
      <c r="E257" s="4" t="n">
        <v>13116</v>
      </c>
      <c r="F257" s="2" t="inlineStr">
        <is>
          <t>Bank Transfer</t>
        </is>
      </c>
      <c r="G257" s="2" t="inlineStr">
        <is>
          <t>Bilal Khan (Head Ops)</t>
        </is>
      </c>
      <c r="H257" s="2" t="inlineStr">
        <is>
          <t>Courier &amp; Logistics</t>
        </is>
      </c>
      <c r="I257" s="2" t="inlineStr">
        <is>
          <t>INV-33508</t>
        </is>
      </c>
      <c r="J257" s="2" t="inlineStr">
        <is>
          <t>Recurring</t>
        </is>
      </c>
      <c r="K257" s="2" t="inlineStr">
        <is>
          <t>Processed</t>
        </is>
      </c>
      <c r="M257">
        <f>COUNTIFS($C$3:$C$500,C257,$E$3:$E$500,E257)</f>
        <v/>
      </c>
    </row>
    <row r="258">
      <c r="A258" s="5" t="inlineStr">
        <is>
          <t>TXN0256</t>
        </is>
      </c>
      <c r="B258" s="6" t="n">
        <v>45422</v>
      </c>
      <c r="C258" s="5" t="inlineStr">
        <is>
          <t>Zong Business</t>
        </is>
      </c>
      <c r="D258" s="5" t="inlineStr">
        <is>
          <t>Marketing</t>
        </is>
      </c>
      <c r="E258" s="7" t="n">
        <v>41271</v>
      </c>
      <c r="F258" s="5" t="inlineStr">
        <is>
          <t>Bank Transfer</t>
        </is>
      </c>
      <c r="G258" s="5" t="inlineStr">
        <is>
          <t>Bilal Khan (Head Ops)</t>
        </is>
      </c>
      <c r="H258" s="5" t="inlineStr">
        <is>
          <t>Telecom</t>
        </is>
      </c>
      <c r="I258" s="5" t="inlineStr">
        <is>
          <t>INV-83919</t>
        </is>
      </c>
      <c r="J258" s="5" t="n"/>
      <c r="K258" s="5" t="inlineStr">
        <is>
          <t>Under Review</t>
        </is>
      </c>
      <c r="M258">
        <f>COUNTIFS($C$3:$C$500,C258,$E$3:$E$500,E258)</f>
        <v/>
      </c>
    </row>
    <row r="259">
      <c r="A259" s="2" t="inlineStr">
        <is>
          <t>TXN0257</t>
        </is>
      </c>
      <c r="B259" s="3" t="n">
        <v>45579</v>
      </c>
      <c r="C259" s="2" t="inlineStr">
        <is>
          <t>Axis Law Chambers</t>
        </is>
      </c>
      <c r="D259" s="2" t="inlineStr">
        <is>
          <t>Customer Experience</t>
        </is>
      </c>
      <c r="E259" s="4" t="n">
        <v>439692</v>
      </c>
      <c r="F259" s="2" t="inlineStr">
        <is>
          <t>Bank Transfer</t>
        </is>
      </c>
      <c r="G259" s="2" t="inlineStr">
        <is>
          <t>Omer Saleem (CFO)</t>
        </is>
      </c>
      <c r="H259" s="2" t="inlineStr">
        <is>
          <t>Legal Services</t>
        </is>
      </c>
      <c r="I259" s="2" t="inlineStr">
        <is>
          <t>INV-75639</t>
        </is>
      </c>
      <c r="J259" s="2" t="inlineStr">
        <is>
          <t>Recurring</t>
        </is>
      </c>
      <c r="K259" s="2" t="inlineStr">
        <is>
          <t>Processed</t>
        </is>
      </c>
      <c r="M259">
        <f>COUNTIFS($C$3:$C$500,C259,$E$3:$E$500,E259)</f>
        <v/>
      </c>
    </row>
    <row r="260">
      <c r="A260" s="5" t="inlineStr">
        <is>
          <t>TXN0258</t>
        </is>
      </c>
      <c r="B260" s="6" t="n">
        <v>45692</v>
      </c>
      <c r="C260" s="5" t="inlineStr">
        <is>
          <t>Microsoft Pakistan</t>
        </is>
      </c>
      <c r="D260" s="5" t="inlineStr">
        <is>
          <t>Operations</t>
        </is>
      </c>
      <c r="E260" s="7" t="n">
        <v>395512</v>
      </c>
      <c r="F260" s="5" t="inlineStr">
        <is>
          <t>Online Transfer</t>
        </is>
      </c>
      <c r="G260" s="5" t="inlineStr">
        <is>
          <t>Omer Saleem (CFO)</t>
        </is>
      </c>
      <c r="H260" s="5" t="inlineStr">
        <is>
          <t>Software License</t>
        </is>
      </c>
      <c r="I260" s="5" t="inlineStr">
        <is>
          <t>INV-13883</t>
        </is>
      </c>
      <c r="J260" s="5" t="n"/>
      <c r="K260" s="5" t="inlineStr">
        <is>
          <t>Processed</t>
        </is>
      </c>
      <c r="M260">
        <f>COUNTIFS($C$3:$C$500,C260,$E$3:$E$500,E260)</f>
        <v/>
      </c>
    </row>
    <row r="261">
      <c r="A261" s="2" t="inlineStr">
        <is>
          <t>TXN0259</t>
        </is>
      </c>
      <c r="B261" s="3" t="n">
        <v>45604</v>
      </c>
      <c r="C261" s="2" t="inlineStr">
        <is>
          <t>Mashaal Movers</t>
        </is>
      </c>
      <c r="D261" s="2" t="inlineStr">
        <is>
          <t>Finance &amp; Accounts</t>
        </is>
      </c>
      <c r="E261" s="4" t="n">
        <v>38315</v>
      </c>
      <c r="F261" s="2" t="inlineStr">
        <is>
          <t>Online Transfer</t>
        </is>
      </c>
      <c r="G261" s="2" t="inlineStr">
        <is>
          <t>Usman Tariq (Finance Manager)</t>
        </is>
      </c>
      <c r="H261" s="2" t="inlineStr">
        <is>
          <t>Courier &amp; Logistics</t>
        </is>
      </c>
      <c r="I261" s="2" t="inlineStr">
        <is>
          <t>INV-21232</t>
        </is>
      </c>
      <c r="J261" s="2" t="n"/>
      <c r="K261" s="2" t="inlineStr">
        <is>
          <t>Processed</t>
        </is>
      </c>
      <c r="M261">
        <f>COUNTIFS($C$3:$C$500,C261,$E$3:$E$500,E261)</f>
        <v/>
      </c>
    </row>
    <row r="262">
      <c r="A262" s="5" t="inlineStr">
        <is>
          <t>TXN0260</t>
        </is>
      </c>
      <c r="B262" s="6" t="n">
        <v>45747</v>
      </c>
      <c r="C262" s="5" t="inlineStr">
        <is>
          <t>IBM Pakistan</t>
        </is>
      </c>
      <c r="D262" s="5" t="inlineStr">
        <is>
          <t>Technology</t>
        </is>
      </c>
      <c r="E262" s="7" t="n">
        <v>404362</v>
      </c>
      <c r="F262" s="5" t="inlineStr">
        <is>
          <t>Online Transfer</t>
        </is>
      </c>
      <c r="G262" s="5" t="inlineStr">
        <is>
          <t>Omer Saleem (CFO)</t>
        </is>
      </c>
      <c r="H262" s="5" t="inlineStr">
        <is>
          <t>IT Services</t>
        </is>
      </c>
      <c r="I262" s="5" t="inlineStr">
        <is>
          <t>INV-51507</t>
        </is>
      </c>
      <c r="J262" s="5" t="inlineStr">
        <is>
          <t>Recurring</t>
        </is>
      </c>
      <c r="K262" s="5" t="inlineStr">
        <is>
          <t>Processed</t>
        </is>
      </c>
      <c r="M262">
        <f>COUNTIFS($C$3:$C$500,C262,$E$3:$E$500,E262)</f>
        <v/>
      </c>
    </row>
    <row r="263">
      <c r="A263" s="2" t="inlineStr">
        <is>
          <t>TXN0261</t>
        </is>
      </c>
      <c r="B263" s="3" t="n">
        <v>45567</v>
      </c>
      <c r="C263" s="2" t="inlineStr">
        <is>
          <t>Oracle Pakistan Pvt Ltd</t>
        </is>
      </c>
      <c r="D263" s="2" t="inlineStr">
        <is>
          <t>Technology</t>
        </is>
      </c>
      <c r="E263" s="4" t="n">
        <v>481374</v>
      </c>
      <c r="F263" s="2" t="inlineStr">
        <is>
          <t>Bank Transfer</t>
        </is>
      </c>
      <c r="G263" s="2" t="inlineStr">
        <is>
          <t>Omer Saleem (CFO)</t>
        </is>
      </c>
      <c r="H263" s="2" t="inlineStr">
        <is>
          <t>Software License</t>
        </is>
      </c>
      <c r="I263" s="2" t="inlineStr">
        <is>
          <t>INV-27367</t>
        </is>
      </c>
      <c r="J263" s="2" t="n"/>
      <c r="K263" s="2" t="inlineStr">
        <is>
          <t>Processed</t>
        </is>
      </c>
      <c r="M263">
        <f>COUNTIFS($C$3:$C$500,C263,$E$3:$E$500,E263)</f>
        <v/>
      </c>
    </row>
    <row r="264">
      <c r="A264" s="5" t="inlineStr">
        <is>
          <t>TXN0262</t>
        </is>
      </c>
      <c r="B264" s="6" t="n">
        <v>45435</v>
      </c>
      <c r="C264" s="5" t="inlineStr">
        <is>
          <t>DHL Pakistan</t>
        </is>
      </c>
      <c r="D264" s="5" t="inlineStr">
        <is>
          <t>HR &amp; Admin</t>
        </is>
      </c>
      <c r="E264" s="7" t="n">
        <v>53744</v>
      </c>
      <c r="F264" s="5" t="inlineStr">
        <is>
          <t>Bank Transfer</t>
        </is>
      </c>
      <c r="G264" s="5" t="inlineStr">
        <is>
          <t>Sara Ahmed (VP Finance)</t>
        </is>
      </c>
      <c r="H264" s="5" t="inlineStr">
        <is>
          <t>Courier &amp; Logistics</t>
        </is>
      </c>
      <c r="I264" s="5" t="inlineStr">
        <is>
          <t>INV-56388</t>
        </is>
      </c>
      <c r="J264" s="5" t="inlineStr">
        <is>
          <t>Urgent</t>
        </is>
      </c>
      <c r="K264" s="5" t="inlineStr">
        <is>
          <t>Processed</t>
        </is>
      </c>
      <c r="M264">
        <f>COUNTIFS($C$3:$C$500,C264,$E$3:$E$500,E264)</f>
        <v/>
      </c>
    </row>
    <row r="265">
      <c r="A265" s="2" t="inlineStr">
        <is>
          <t>TXN0263</t>
        </is>
      </c>
      <c r="B265" s="3" t="n">
        <v>45532</v>
      </c>
      <c r="C265" s="2" t="inlineStr">
        <is>
          <t>Hafeez Centre Dealers</t>
        </is>
      </c>
      <c r="D265" s="2" t="inlineStr">
        <is>
          <t>Marketing</t>
        </is>
      </c>
      <c r="E265" s="4" t="n">
        <v>427347</v>
      </c>
      <c r="F265" s="2" t="inlineStr">
        <is>
          <t>Online Transfer</t>
        </is>
      </c>
      <c r="G265" s="2" t="inlineStr">
        <is>
          <t>Omer Saleem (CFO)</t>
        </is>
      </c>
      <c r="H265" s="2" t="inlineStr">
        <is>
          <t>Hardware</t>
        </is>
      </c>
      <c r="I265" s="2" t="inlineStr">
        <is>
          <t>INV-21101</t>
        </is>
      </c>
      <c r="J265" s="2" t="inlineStr">
        <is>
          <t>Urgent</t>
        </is>
      </c>
      <c r="K265" s="2" t="inlineStr">
        <is>
          <t>Processed</t>
        </is>
      </c>
      <c r="M265">
        <f>COUNTIFS($C$3:$C$500,C265,$E$3:$E$500,E265)</f>
        <v/>
      </c>
    </row>
    <row r="266">
      <c r="A266" s="5" t="inlineStr">
        <is>
          <t>TXN0264</t>
        </is>
      </c>
      <c r="B266" s="6" t="n">
        <v>45469</v>
      </c>
      <c r="C266" s="5" t="inlineStr">
        <is>
          <t>Al-Fatah Electronics</t>
        </is>
      </c>
      <c r="D266" s="5" t="inlineStr">
        <is>
          <t>Compliance</t>
        </is>
      </c>
      <c r="E266" s="7" t="n">
        <v>30197</v>
      </c>
      <c r="F266" s="5" t="inlineStr">
        <is>
          <t>RTGS</t>
        </is>
      </c>
      <c r="G266" s="5" t="inlineStr">
        <is>
          <t>Usman Tariq (Finance Manager)</t>
        </is>
      </c>
      <c r="H266" s="5" t="inlineStr">
        <is>
          <t>Office Supplies</t>
        </is>
      </c>
      <c r="I266" s="5" t="inlineStr">
        <is>
          <t>INV-49469</t>
        </is>
      </c>
      <c r="J266" s="5" t="n"/>
      <c r="K266" s="5" t="inlineStr">
        <is>
          <t>Processed</t>
        </is>
      </c>
      <c r="M266">
        <f>COUNTIFS($C$3:$C$500,C266,$E$3:$E$500,E266)</f>
        <v/>
      </c>
    </row>
    <row r="267">
      <c r="A267" s="2" t="inlineStr">
        <is>
          <t>TXN0265</t>
        </is>
      </c>
      <c r="B267" s="3" t="n">
        <v>45524</v>
      </c>
      <c r="C267" s="2" t="inlineStr">
        <is>
          <t>Zones Pakistan Pvt Ltd</t>
        </is>
      </c>
      <c r="D267" s="2" t="inlineStr">
        <is>
          <t>Technology</t>
        </is>
      </c>
      <c r="E267" s="4" t="n">
        <v>263297</v>
      </c>
      <c r="F267" s="2" t="inlineStr">
        <is>
          <t>RTGS</t>
        </is>
      </c>
      <c r="G267" s="2" t="inlineStr">
        <is>
          <t>Omer Saleem (CFO)</t>
        </is>
      </c>
      <c r="H267" s="2" t="inlineStr">
        <is>
          <t>Hardware</t>
        </is>
      </c>
      <c r="I267" s="2" t="inlineStr">
        <is>
          <t>INV-73469</t>
        </is>
      </c>
      <c r="J267" s="2" t="n"/>
      <c r="K267" s="2" t="inlineStr">
        <is>
          <t>Processed</t>
        </is>
      </c>
      <c r="M267">
        <f>COUNTIFS($C$3:$C$500,C267,$E$3:$E$500,E267)</f>
        <v/>
      </c>
    </row>
    <row r="268">
      <c r="A268" s="5" t="inlineStr">
        <is>
          <t>TXN0266</t>
        </is>
      </c>
      <c r="B268" s="6" t="n">
        <v>45687</v>
      </c>
      <c r="C268" s="5" t="inlineStr">
        <is>
          <t>MCB Bank Ltd</t>
        </is>
      </c>
      <c r="D268" s="5" t="inlineStr">
        <is>
          <t>Finance &amp; Accounts</t>
        </is>
      </c>
      <c r="E268" s="7" t="n">
        <v>128459</v>
      </c>
      <c r="F268" s="5" t="inlineStr">
        <is>
          <t>Cheque</t>
        </is>
      </c>
      <c r="G268" s="5" t="inlineStr">
        <is>
          <t>Sara Ahmed (VP Finance)</t>
        </is>
      </c>
      <c r="H268" s="5" t="inlineStr">
        <is>
          <t>Banking Services</t>
        </is>
      </c>
      <c r="I268" s="5" t="inlineStr">
        <is>
          <t>INV-24021</t>
        </is>
      </c>
      <c r="J268" s="5" t="n"/>
      <c r="K268" s="5" t="inlineStr">
        <is>
          <t>Processed</t>
        </is>
      </c>
      <c r="M268">
        <f>COUNTIFS($C$3:$C$500,C268,$E$3:$E$500,E268)</f>
        <v/>
      </c>
    </row>
    <row r="269">
      <c r="A269" s="2" t="inlineStr">
        <is>
          <t>TXN0267</t>
        </is>
      </c>
      <c r="B269" s="3" t="n">
        <v>45551</v>
      </c>
      <c r="C269" s="2" t="inlineStr">
        <is>
          <t>Systems Limited</t>
        </is>
      </c>
      <c r="D269" s="2" t="inlineStr">
        <is>
          <t>Operations</t>
        </is>
      </c>
      <c r="E269" s="4" t="n">
        <v>505425</v>
      </c>
      <c r="F269" s="2" t="inlineStr">
        <is>
          <t>Online Transfer</t>
        </is>
      </c>
      <c r="G269" s="2" t="inlineStr">
        <is>
          <t>Omer Saleem (CFO)</t>
        </is>
      </c>
      <c r="H269" s="2" t="inlineStr">
        <is>
          <t>Software License</t>
        </is>
      </c>
      <c r="I269" s="2" t="inlineStr">
        <is>
          <t>INV-66441</t>
        </is>
      </c>
      <c r="J269" s="2" t="n"/>
      <c r="K269" s="2" t="inlineStr">
        <is>
          <t>Processed</t>
        </is>
      </c>
      <c r="M269">
        <f>COUNTIFS($C$3:$C$500,C269,$E$3:$E$500,E269)</f>
        <v/>
      </c>
    </row>
    <row r="270">
      <c r="A270" s="5" t="inlineStr">
        <is>
          <t>TXN0268</t>
        </is>
      </c>
      <c r="B270" s="6" t="n">
        <v>45628</v>
      </c>
      <c r="C270" s="5" t="inlineStr">
        <is>
          <t>Deloitte Pakistan</t>
        </is>
      </c>
      <c r="D270" s="5" t="inlineStr">
        <is>
          <t>Marketing</t>
        </is>
      </c>
      <c r="E270" s="7" t="n">
        <v>933203</v>
      </c>
      <c r="F270" s="5" t="inlineStr">
        <is>
          <t>Bank Transfer</t>
        </is>
      </c>
      <c r="G270" s="5" t="inlineStr">
        <is>
          <t>Omer Saleem (CFO)</t>
        </is>
      </c>
      <c r="H270" s="5" t="inlineStr">
        <is>
          <t>Audit &amp; Legal</t>
        </is>
      </c>
      <c r="I270" s="5" t="inlineStr">
        <is>
          <t>INV-62198</t>
        </is>
      </c>
      <c r="J270" s="5" t="inlineStr">
        <is>
          <t>Recurring</t>
        </is>
      </c>
      <c r="K270" s="5" t="inlineStr">
        <is>
          <t>Processed</t>
        </is>
      </c>
      <c r="M270">
        <f>COUNTIFS($C$3:$C$500,C270,$E$3:$E$500,E270)</f>
        <v/>
      </c>
    </row>
    <row r="271">
      <c r="A271" s="2" t="inlineStr">
        <is>
          <t>TXN0269</t>
        </is>
      </c>
      <c r="B271" s="3" t="n">
        <v>45575</v>
      </c>
      <c r="C271" s="2" t="inlineStr">
        <is>
          <t>Singer Pakistan</t>
        </is>
      </c>
      <c r="D271" s="2" t="inlineStr">
        <is>
          <t>HR &amp; Admin</t>
        </is>
      </c>
      <c r="E271" s="4" t="n">
        <v>54558</v>
      </c>
      <c r="F271" s="2" t="inlineStr">
        <is>
          <t>Online Transfer</t>
        </is>
      </c>
      <c r="G271" s="2" t="inlineStr">
        <is>
          <t>Zara Malik (CFO Office)</t>
        </is>
      </c>
      <c r="H271" s="2" t="inlineStr">
        <is>
          <t>Office Supplies</t>
        </is>
      </c>
      <c r="I271" s="2" t="inlineStr">
        <is>
          <t>INV-57843</t>
        </is>
      </c>
      <c r="J271" s="2" t="n"/>
      <c r="K271" s="2" t="inlineStr">
        <is>
          <t>Under Review</t>
        </is>
      </c>
      <c r="M271">
        <f>COUNTIFS($C$3:$C$500,C271,$E$3:$E$500,E271)</f>
        <v/>
      </c>
    </row>
    <row r="272">
      <c r="A272" s="5" t="inlineStr">
        <is>
          <t>TXN0270</t>
        </is>
      </c>
      <c r="B272" s="6" t="n">
        <v>45490</v>
      </c>
      <c r="C272" s="5" t="inlineStr">
        <is>
          <t>PTCL Corporate</t>
        </is>
      </c>
      <c r="D272" s="5" t="inlineStr">
        <is>
          <t>Marketing</t>
        </is>
      </c>
      <c r="E272" s="7" t="n">
        <v>48442</v>
      </c>
      <c r="F272" s="5" t="inlineStr">
        <is>
          <t>RTGS</t>
        </is>
      </c>
      <c r="G272" s="5" t="inlineStr">
        <is>
          <t>Bilal Khan (Head Ops)</t>
        </is>
      </c>
      <c r="H272" s="5" t="inlineStr">
        <is>
          <t>Telecom</t>
        </is>
      </c>
      <c r="I272" s="5" t="inlineStr">
        <is>
          <t>INV-19064</t>
        </is>
      </c>
      <c r="J272" s="5" t="inlineStr">
        <is>
          <t>Pre-approved</t>
        </is>
      </c>
      <c r="K272" s="5" t="inlineStr">
        <is>
          <t>Processed</t>
        </is>
      </c>
      <c r="M272">
        <f>COUNTIFS($C$3:$C$500,C272,$E$3:$E$500,E272)</f>
        <v/>
      </c>
    </row>
    <row r="273">
      <c r="A273" s="2" t="inlineStr">
        <is>
          <t>TXN0271</t>
        </is>
      </c>
      <c r="B273" s="3" t="n">
        <v>45512</v>
      </c>
      <c r="C273" s="2" t="inlineStr">
        <is>
          <t>Teradata Pakistan</t>
        </is>
      </c>
      <c r="D273" s="2" t="inlineStr">
        <is>
          <t>Customer Experience</t>
        </is>
      </c>
      <c r="E273" s="4" t="n">
        <v>442355</v>
      </c>
      <c r="F273" s="2" t="inlineStr">
        <is>
          <t>Online Transfer</t>
        </is>
      </c>
      <c r="G273" s="2" t="inlineStr">
        <is>
          <t>Omer Saleem (CFO)</t>
        </is>
      </c>
      <c r="H273" s="2" t="inlineStr">
        <is>
          <t>IT Services</t>
        </is>
      </c>
      <c r="I273" s="2" t="inlineStr">
        <is>
          <t>INV-59412</t>
        </is>
      </c>
      <c r="J273" s="2" t="n"/>
      <c r="K273" s="2" t="inlineStr">
        <is>
          <t>Processed</t>
        </is>
      </c>
      <c r="M273">
        <f>COUNTIFS($C$3:$C$500,C273,$E$3:$E$500,E273)</f>
        <v/>
      </c>
    </row>
    <row r="274">
      <c r="A274" s="5" t="inlineStr">
        <is>
          <t>TXN0272</t>
        </is>
      </c>
      <c r="B274" s="6" t="n">
        <v>45656</v>
      </c>
      <c r="C274" s="5" t="inlineStr">
        <is>
          <t>Hafeez Centre Dealers</t>
        </is>
      </c>
      <c r="D274" s="5" t="inlineStr">
        <is>
          <t>HR &amp; Admin</t>
        </is>
      </c>
      <c r="E274" s="7" t="n">
        <v>697940</v>
      </c>
      <c r="F274" s="5" t="inlineStr">
        <is>
          <t>Bank Transfer</t>
        </is>
      </c>
      <c r="G274" s="5" t="inlineStr">
        <is>
          <t>Omer Saleem (CFO)</t>
        </is>
      </c>
      <c r="H274" s="5" t="inlineStr">
        <is>
          <t>Hardware</t>
        </is>
      </c>
      <c r="I274" s="5" t="inlineStr">
        <is>
          <t>INV-57124</t>
        </is>
      </c>
      <c r="J274" s="5" t="inlineStr">
        <is>
          <t>Urgent</t>
        </is>
      </c>
      <c r="K274" s="5" t="inlineStr">
        <is>
          <t>Under Review</t>
        </is>
      </c>
      <c r="M274">
        <f>COUNTIFS($C$3:$C$500,C274,$E$3:$E$500,E274)</f>
        <v/>
      </c>
    </row>
    <row r="275">
      <c r="A275" s="2" t="inlineStr">
        <is>
          <t>TXN0273</t>
        </is>
      </c>
      <c r="B275" s="3" t="n">
        <v>45719</v>
      </c>
      <c r="C275" s="2" t="inlineStr">
        <is>
          <t>Singer Pakistan</t>
        </is>
      </c>
      <c r="D275" s="2" t="inlineStr">
        <is>
          <t>Technology</t>
        </is>
      </c>
      <c r="E275" s="4" t="n">
        <v>24081</v>
      </c>
      <c r="F275" s="2" t="inlineStr">
        <is>
          <t>Bank Transfer</t>
        </is>
      </c>
      <c r="G275" s="2" t="inlineStr">
        <is>
          <t>Bilal Khan (Head Ops)</t>
        </is>
      </c>
      <c r="H275" s="2" t="inlineStr">
        <is>
          <t>Office Supplies</t>
        </is>
      </c>
      <c r="I275" s="2" t="inlineStr">
        <is>
          <t>INV-94803</t>
        </is>
      </c>
      <c r="J275" s="2" t="n"/>
      <c r="K275" s="2" t="inlineStr">
        <is>
          <t>Under Review</t>
        </is>
      </c>
      <c r="M275">
        <f>COUNTIFS($C$3:$C$500,C275,$E$3:$E$500,E275)</f>
        <v/>
      </c>
    </row>
    <row r="276">
      <c r="A276" s="5" t="inlineStr">
        <is>
          <t>TXN0274</t>
        </is>
      </c>
      <c r="B276" s="6" t="n">
        <v>45552</v>
      </c>
      <c r="C276" s="5" t="inlineStr">
        <is>
          <t>Punjab Beverages</t>
        </is>
      </c>
      <c r="D276" s="5" t="inlineStr">
        <is>
          <t>Customer Experience</t>
        </is>
      </c>
      <c r="E276" s="7" t="n">
        <v>61778</v>
      </c>
      <c r="F276" s="5" t="inlineStr">
        <is>
          <t>Bank Transfer</t>
        </is>
      </c>
      <c r="G276" s="5" t="inlineStr">
        <is>
          <t>Zara Malik (CFO Office)</t>
        </is>
      </c>
      <c r="H276" s="5" t="inlineStr">
        <is>
          <t>Office Supplies</t>
        </is>
      </c>
      <c r="I276" s="5" t="inlineStr">
        <is>
          <t>INV-11382</t>
        </is>
      </c>
      <c r="J276" s="5" t="n"/>
      <c r="K276" s="5" t="inlineStr">
        <is>
          <t>Processed</t>
        </is>
      </c>
      <c r="M276">
        <f>COUNTIFS($C$3:$C$500,C276,$E$3:$E$500,E276)</f>
        <v/>
      </c>
    </row>
    <row r="277">
      <c r="A277" s="2" t="inlineStr">
        <is>
          <t>TXN0275</t>
        </is>
      </c>
      <c r="B277" s="3" t="n">
        <v>45611</v>
      </c>
      <c r="C277" s="2" t="inlineStr">
        <is>
          <t>Ufone Corporate</t>
        </is>
      </c>
      <c r="D277" s="2" t="inlineStr">
        <is>
          <t>Compliance</t>
        </is>
      </c>
      <c r="E277" s="4" t="n">
        <v>87467</v>
      </c>
      <c r="F277" s="2" t="inlineStr">
        <is>
          <t>Online Transfer</t>
        </is>
      </c>
      <c r="G277" s="2" t="inlineStr">
        <is>
          <t>Zara Malik (CFO Office)</t>
        </is>
      </c>
      <c r="H277" s="2" t="inlineStr">
        <is>
          <t>Telecom</t>
        </is>
      </c>
      <c r="I277" s="2" t="inlineStr">
        <is>
          <t>INV-70694</t>
        </is>
      </c>
      <c r="J277" s="2" t="inlineStr">
        <is>
          <t>Urgent</t>
        </is>
      </c>
      <c r="K277" s="2" t="inlineStr">
        <is>
          <t>Processed</t>
        </is>
      </c>
      <c r="M277">
        <f>COUNTIFS($C$3:$C$500,C277,$E$3:$E$500,E277)</f>
        <v/>
      </c>
    </row>
    <row r="278">
      <c r="A278" s="5" t="inlineStr">
        <is>
          <t>TXN0276</t>
        </is>
      </c>
      <c r="B278" s="6" t="n">
        <v>45534</v>
      </c>
      <c r="C278" s="5" t="inlineStr">
        <is>
          <t>EY Pakistan</t>
        </is>
      </c>
      <c r="D278" s="5" t="inlineStr">
        <is>
          <t>Technology</t>
        </is>
      </c>
      <c r="E278" s="7" t="n">
        <v>708781</v>
      </c>
      <c r="F278" s="5" t="inlineStr">
        <is>
          <t>Bank Transfer</t>
        </is>
      </c>
      <c r="G278" s="5" t="inlineStr">
        <is>
          <t>Omer Saleem (CFO)</t>
        </is>
      </c>
      <c r="H278" s="5" t="inlineStr">
        <is>
          <t>Audit &amp; Legal</t>
        </is>
      </c>
      <c r="I278" s="5" t="inlineStr">
        <is>
          <t>INV-25213</t>
        </is>
      </c>
      <c r="J278" s="5" t="n"/>
      <c r="K278" s="5" t="inlineStr">
        <is>
          <t>Processed</t>
        </is>
      </c>
      <c r="M278">
        <f>COUNTIFS($C$3:$C$500,C278,$E$3:$E$500,E278)</f>
        <v/>
      </c>
    </row>
    <row r="279">
      <c r="A279" s="2" t="inlineStr">
        <is>
          <t>TXN0277</t>
        </is>
      </c>
      <c r="B279" s="3" t="n">
        <v>45649</v>
      </c>
      <c r="C279" s="2" t="inlineStr">
        <is>
          <t>UBL Corporate</t>
        </is>
      </c>
      <c r="D279" s="2" t="inlineStr">
        <is>
          <t>Operations</t>
        </is>
      </c>
      <c r="E279" s="4" t="n">
        <v>88917</v>
      </c>
      <c r="F279" s="2" t="inlineStr">
        <is>
          <t>Online Transfer</t>
        </is>
      </c>
      <c r="G279" s="2" t="inlineStr">
        <is>
          <t>Zara Malik (CFO Office)</t>
        </is>
      </c>
      <c r="H279" s="2" t="inlineStr">
        <is>
          <t>Banking Services</t>
        </is>
      </c>
      <c r="I279" s="2" t="inlineStr">
        <is>
          <t>INV-72411</t>
        </is>
      </c>
      <c r="J279" s="2" t="n"/>
      <c r="K279" s="2" t="inlineStr">
        <is>
          <t>Processed</t>
        </is>
      </c>
      <c r="M279">
        <f>COUNTIFS($C$3:$C$500,C279,$E$3:$E$500,E279)</f>
        <v/>
      </c>
    </row>
    <row r="280">
      <c r="A280" s="5" t="inlineStr">
        <is>
          <t>TXN0278</t>
        </is>
      </c>
      <c r="B280" s="6" t="n">
        <v>45405</v>
      </c>
      <c r="C280" s="5" t="inlineStr">
        <is>
          <t>Leopards Courier</t>
        </is>
      </c>
      <c r="D280" s="5" t="inlineStr">
        <is>
          <t>Operations</t>
        </is>
      </c>
      <c r="E280" s="7" t="n">
        <v>18168</v>
      </c>
      <c r="F280" s="5" t="inlineStr">
        <is>
          <t>Bank Transfer</t>
        </is>
      </c>
      <c r="G280" s="5" t="inlineStr">
        <is>
          <t>Usman Tariq (Finance Manager)</t>
        </is>
      </c>
      <c r="H280" s="5" t="inlineStr">
        <is>
          <t>Courier &amp; Logistics</t>
        </is>
      </c>
      <c r="I280" s="5" t="inlineStr">
        <is>
          <t>INV-54967</t>
        </is>
      </c>
      <c r="J280" s="5" t="n"/>
      <c r="K280" s="5" t="inlineStr">
        <is>
          <t>Processed</t>
        </is>
      </c>
      <c r="M280">
        <f>COUNTIFS($C$3:$C$500,C280,$E$3:$E$500,E280)</f>
        <v/>
      </c>
    </row>
    <row r="281">
      <c r="A281" s="2" t="inlineStr">
        <is>
          <t>TXN0279</t>
        </is>
      </c>
      <c r="B281" s="3" t="n">
        <v>45552</v>
      </c>
      <c r="C281" s="2" t="inlineStr">
        <is>
          <t>Allied Bank Limited</t>
        </is>
      </c>
      <c r="D281" s="2" t="inlineStr">
        <is>
          <t>Compliance</t>
        </is>
      </c>
      <c r="E281" s="4" t="n">
        <v>51335</v>
      </c>
      <c r="F281" s="2" t="inlineStr">
        <is>
          <t>Cheque</t>
        </is>
      </c>
      <c r="G281" s="2" t="inlineStr">
        <is>
          <t>Zara Malik (CFO Office)</t>
        </is>
      </c>
      <c r="H281" s="2" t="inlineStr">
        <is>
          <t>Banking Services</t>
        </is>
      </c>
      <c r="I281" s="2" t="inlineStr">
        <is>
          <t>INV-40389</t>
        </is>
      </c>
      <c r="J281" s="2" t="inlineStr">
        <is>
          <t>Pre-approved</t>
        </is>
      </c>
      <c r="K281" s="2" t="inlineStr">
        <is>
          <t>Processed</t>
        </is>
      </c>
      <c r="M281">
        <f>COUNTIFS($C$3:$C$500,C281,$E$3:$E$500,E281)</f>
        <v/>
      </c>
    </row>
    <row r="282">
      <c r="A282" s="5" t="inlineStr">
        <is>
          <t>TXN0280</t>
        </is>
      </c>
      <c r="B282" s="6" t="n">
        <v>45397</v>
      </c>
      <c r="C282" s="5" t="inlineStr">
        <is>
          <t>Telenor Pakistan</t>
        </is>
      </c>
      <c r="D282" s="5" t="inlineStr">
        <is>
          <t>Customer Experience</t>
        </is>
      </c>
      <c r="E282" s="7" t="n">
        <v>78968</v>
      </c>
      <c r="F282" s="5" t="inlineStr">
        <is>
          <t>Cheque</t>
        </is>
      </c>
      <c r="G282" s="5" t="inlineStr">
        <is>
          <t>Sara Ahmed (VP Finance)</t>
        </is>
      </c>
      <c r="H282" s="5" t="inlineStr">
        <is>
          <t>Telecom</t>
        </is>
      </c>
      <c r="I282" s="5" t="inlineStr">
        <is>
          <t>INV-87621</t>
        </is>
      </c>
      <c r="J282" s="5" t="inlineStr">
        <is>
          <t>Pre-approved</t>
        </is>
      </c>
      <c r="K282" s="5" t="inlineStr">
        <is>
          <t>Processed</t>
        </is>
      </c>
      <c r="M282">
        <f>COUNTIFS($C$3:$C$500,C282,$E$3:$E$500,E282)</f>
        <v/>
      </c>
    </row>
    <row r="283">
      <c r="A283" s="2" t="inlineStr">
        <is>
          <t>TXN0281</t>
        </is>
      </c>
      <c r="B283" s="3" t="n">
        <v>45525</v>
      </c>
      <c r="C283" s="2" t="inlineStr">
        <is>
          <t>Systems Limited</t>
        </is>
      </c>
      <c r="D283" s="2" t="inlineStr">
        <is>
          <t>Risk Management</t>
        </is>
      </c>
      <c r="E283" s="4" t="n">
        <v>379448</v>
      </c>
      <c r="F283" s="2" t="inlineStr">
        <is>
          <t>Bank Transfer</t>
        </is>
      </c>
      <c r="G283" s="2" t="inlineStr">
        <is>
          <t>Omer Saleem (CFO)</t>
        </is>
      </c>
      <c r="H283" s="2" t="inlineStr">
        <is>
          <t>Software License</t>
        </is>
      </c>
      <c r="I283" s="2" t="inlineStr">
        <is>
          <t>INV-80371</t>
        </is>
      </c>
      <c r="J283" s="2" t="n"/>
      <c r="K283" s="2" t="inlineStr">
        <is>
          <t>Processed</t>
        </is>
      </c>
      <c r="M283">
        <f>COUNTIFS($C$3:$C$500,C283,$E$3:$E$500,E283)</f>
        <v/>
      </c>
    </row>
    <row r="284">
      <c r="A284" s="5" t="inlineStr">
        <is>
          <t>TXN0282</t>
        </is>
      </c>
      <c r="B284" s="6" t="n">
        <v>45517</v>
      </c>
      <c r="C284" s="5" t="inlineStr">
        <is>
          <t>Deloitte Pakistan</t>
        </is>
      </c>
      <c r="D284" s="5" t="inlineStr">
        <is>
          <t>Finance &amp; Accounts</t>
        </is>
      </c>
      <c r="E284" s="7" t="n">
        <v>682490</v>
      </c>
      <c r="F284" s="5" t="inlineStr">
        <is>
          <t>Online Transfer</t>
        </is>
      </c>
      <c r="G284" s="5" t="inlineStr">
        <is>
          <t>Omer Saleem (CFO)</t>
        </is>
      </c>
      <c r="H284" s="5" t="inlineStr">
        <is>
          <t>Audit &amp; Legal</t>
        </is>
      </c>
      <c r="I284" s="5" t="inlineStr">
        <is>
          <t>INV-88246</t>
        </is>
      </c>
      <c r="J284" s="5" t="inlineStr">
        <is>
          <t>Pre-approved</t>
        </is>
      </c>
      <c r="K284" s="5" t="inlineStr">
        <is>
          <t>Under Review</t>
        </is>
      </c>
      <c r="M284">
        <f>COUNTIFS($C$3:$C$500,C284,$E$3:$E$500,E284)</f>
        <v/>
      </c>
    </row>
    <row r="285">
      <c r="A285" s="2" t="inlineStr">
        <is>
          <t>TXN0283</t>
        </is>
      </c>
      <c r="B285" s="3" t="n">
        <v>45617</v>
      </c>
      <c r="C285" s="2" t="inlineStr">
        <is>
          <t>Haidermota &amp; Co</t>
        </is>
      </c>
      <c r="D285" s="2" t="inlineStr">
        <is>
          <t>Marketing</t>
        </is>
      </c>
      <c r="E285" s="4" t="n">
        <v>216437</v>
      </c>
      <c r="F285" s="2" t="inlineStr">
        <is>
          <t>RTGS</t>
        </is>
      </c>
      <c r="G285" s="2" t="inlineStr">
        <is>
          <t>Omer Saleem (CFO)</t>
        </is>
      </c>
      <c r="H285" s="2" t="inlineStr">
        <is>
          <t>Legal Services</t>
        </is>
      </c>
      <c r="I285" s="2" t="inlineStr">
        <is>
          <t>INV-90541</t>
        </is>
      </c>
      <c r="J285" s="2" t="n"/>
      <c r="K285" s="2" t="inlineStr">
        <is>
          <t>Processed</t>
        </is>
      </c>
      <c r="M285">
        <f>COUNTIFS($C$3:$C$500,C285,$E$3:$E$500,E285)</f>
        <v/>
      </c>
    </row>
    <row r="286">
      <c r="A286" s="5" t="inlineStr">
        <is>
          <t>TXN0284</t>
        </is>
      </c>
      <c r="B286" s="6" t="n">
        <v>45442</v>
      </c>
      <c r="C286" s="5" t="inlineStr">
        <is>
          <t>Deloitte Pakistan</t>
        </is>
      </c>
      <c r="D286" s="5" t="inlineStr">
        <is>
          <t>Technology</t>
        </is>
      </c>
      <c r="E286" s="7" t="n">
        <v>456011</v>
      </c>
      <c r="F286" s="5" t="inlineStr">
        <is>
          <t>Online Transfer</t>
        </is>
      </c>
      <c r="G286" s="5" t="inlineStr">
        <is>
          <t>Omer Saleem (CFO)</t>
        </is>
      </c>
      <c r="H286" s="5" t="inlineStr">
        <is>
          <t>Audit &amp; Legal</t>
        </is>
      </c>
      <c r="I286" s="5" t="inlineStr">
        <is>
          <t>INV-28528</t>
        </is>
      </c>
      <c r="J286" s="5" t="inlineStr">
        <is>
          <t>Urgent</t>
        </is>
      </c>
      <c r="K286" s="5" t="inlineStr">
        <is>
          <t>Processed</t>
        </is>
      </c>
      <c r="M286">
        <f>COUNTIFS($C$3:$C$500,C286,$E$3:$E$500,E286)</f>
        <v/>
      </c>
    </row>
    <row r="287">
      <c r="A287" s="2" t="inlineStr">
        <is>
          <t>TXN0285</t>
        </is>
      </c>
      <c r="B287" s="3" t="n">
        <v>45478</v>
      </c>
      <c r="C287" s="2" t="inlineStr">
        <is>
          <t>TCS Couriers</t>
        </is>
      </c>
      <c r="D287" s="2" t="inlineStr">
        <is>
          <t>Marketing</t>
        </is>
      </c>
      <c r="E287" s="4" t="n">
        <v>24168</v>
      </c>
      <c r="F287" s="2" t="inlineStr">
        <is>
          <t>Bank Transfer</t>
        </is>
      </c>
      <c r="G287" s="2" t="inlineStr">
        <is>
          <t>Bilal Khan (Head Ops)</t>
        </is>
      </c>
      <c r="H287" s="2" t="inlineStr">
        <is>
          <t>Courier &amp; Logistics</t>
        </is>
      </c>
      <c r="I287" s="2" t="inlineStr">
        <is>
          <t>INV-82733</t>
        </is>
      </c>
      <c r="J287" s="2" t="n"/>
      <c r="K287" s="2" t="inlineStr">
        <is>
          <t>Processed</t>
        </is>
      </c>
      <c r="M287">
        <f>COUNTIFS($C$3:$C$500,C287,$E$3:$E$500,E287)</f>
        <v/>
      </c>
    </row>
    <row r="288">
      <c r="A288" s="5" t="inlineStr">
        <is>
          <t>TXN0286</t>
        </is>
      </c>
      <c r="B288" s="6" t="n">
        <v>45700</v>
      </c>
      <c r="C288" s="5" t="inlineStr">
        <is>
          <t>Meezan Bank Ltd</t>
        </is>
      </c>
      <c r="D288" s="5" t="inlineStr">
        <is>
          <t>Technology</t>
        </is>
      </c>
      <c r="E288" s="7" t="n">
        <v>55524</v>
      </c>
      <c r="F288" s="5" t="inlineStr">
        <is>
          <t>Online Transfer</t>
        </is>
      </c>
      <c r="G288" s="5" t="inlineStr">
        <is>
          <t>Sara Ahmed (VP Finance)</t>
        </is>
      </c>
      <c r="H288" s="5" t="inlineStr">
        <is>
          <t>Banking Services</t>
        </is>
      </c>
      <c r="I288" s="5" t="inlineStr">
        <is>
          <t>INV-11256</t>
        </is>
      </c>
      <c r="J288" s="5" t="inlineStr">
        <is>
          <t>One-time</t>
        </is>
      </c>
      <c r="K288" s="5" t="inlineStr">
        <is>
          <t>Processed</t>
        </is>
      </c>
      <c r="M288">
        <f>COUNTIFS($C$3:$C$500,C288,$E$3:$E$500,E288)</f>
        <v/>
      </c>
    </row>
    <row r="289">
      <c r="A289" s="2" t="inlineStr">
        <is>
          <t>TXN0287</t>
        </is>
      </c>
      <c r="B289" s="3" t="n">
        <v>45733</v>
      </c>
      <c r="C289" s="2" t="inlineStr">
        <is>
          <t>PTCL Corporate</t>
        </is>
      </c>
      <c r="D289" s="2" t="inlineStr">
        <is>
          <t>Operations</t>
        </is>
      </c>
      <c r="E289" s="4" t="n">
        <v>90204</v>
      </c>
      <c r="F289" s="2" t="inlineStr">
        <is>
          <t>Online Transfer</t>
        </is>
      </c>
      <c r="G289" s="2" t="inlineStr">
        <is>
          <t>Zara Malik (CFO Office)</t>
        </is>
      </c>
      <c r="H289" s="2" t="inlineStr">
        <is>
          <t>Telecom</t>
        </is>
      </c>
      <c r="I289" s="2" t="inlineStr">
        <is>
          <t>INV-68176</t>
        </is>
      </c>
      <c r="J289" s="2" t="inlineStr">
        <is>
          <t>One-time</t>
        </is>
      </c>
      <c r="K289" s="2" t="inlineStr">
        <is>
          <t>Processed</t>
        </is>
      </c>
      <c r="M289">
        <f>COUNTIFS($C$3:$C$500,C289,$E$3:$E$500,E289)</f>
        <v/>
      </c>
    </row>
    <row r="290">
      <c r="A290" s="5" t="inlineStr">
        <is>
          <t>TXN0288</t>
        </is>
      </c>
      <c r="B290" s="6" t="n">
        <v>45532</v>
      </c>
      <c r="C290" s="5" t="inlineStr">
        <is>
          <t>Oracle Pakistan Pvt Ltd</t>
        </is>
      </c>
      <c r="D290" s="5" t="inlineStr">
        <is>
          <t>Marketing</t>
        </is>
      </c>
      <c r="E290" s="7" t="n">
        <v>186819</v>
      </c>
      <c r="F290" s="5" t="inlineStr">
        <is>
          <t>RTGS</t>
        </is>
      </c>
      <c r="G290" s="5" t="inlineStr">
        <is>
          <t>Sara Ahmed (VP Finance)</t>
        </is>
      </c>
      <c r="H290" s="5" t="inlineStr">
        <is>
          <t>Software License</t>
        </is>
      </c>
      <c r="I290" s="5" t="inlineStr">
        <is>
          <t>INV-39470</t>
        </is>
      </c>
      <c r="J290" s="5" t="inlineStr">
        <is>
          <t>Urgent</t>
        </is>
      </c>
      <c r="K290" s="5" t="inlineStr">
        <is>
          <t>Processed</t>
        </is>
      </c>
      <c r="M290">
        <f>COUNTIFS($C$3:$C$500,C290,$E$3:$E$500,E290)</f>
        <v/>
      </c>
    </row>
    <row r="291">
      <c r="A291" s="2" t="inlineStr">
        <is>
          <t>TXN0289</t>
        </is>
      </c>
      <c r="B291" s="3" t="n">
        <v>45644</v>
      </c>
      <c r="C291" s="2" t="inlineStr">
        <is>
          <t>Mobilink (Jazz)</t>
        </is>
      </c>
      <c r="D291" s="2" t="inlineStr">
        <is>
          <t>HR &amp; Admin</t>
        </is>
      </c>
      <c r="E291" s="4" t="n">
        <v>89774</v>
      </c>
      <c r="F291" s="2" t="inlineStr">
        <is>
          <t>Bank Transfer</t>
        </is>
      </c>
      <c r="G291" s="2" t="inlineStr">
        <is>
          <t>Sara Ahmed (VP Finance)</t>
        </is>
      </c>
      <c r="H291" s="2" t="inlineStr">
        <is>
          <t>Telecom</t>
        </is>
      </c>
      <c r="I291" s="2" t="inlineStr">
        <is>
          <t>INV-45112</t>
        </is>
      </c>
      <c r="J291" s="2" t="inlineStr">
        <is>
          <t>Urgent</t>
        </is>
      </c>
      <c r="K291" s="2" t="inlineStr">
        <is>
          <t>Processed</t>
        </is>
      </c>
      <c r="M291">
        <f>COUNTIFS($C$3:$C$500,C291,$E$3:$E$500,E291)</f>
        <v/>
      </c>
    </row>
    <row r="292">
      <c r="A292" s="5" t="inlineStr">
        <is>
          <t>TXN0290</t>
        </is>
      </c>
      <c r="B292" s="6" t="n">
        <v>45600</v>
      </c>
      <c r="C292" s="5" t="inlineStr">
        <is>
          <t>Serena Hotel Lahore</t>
        </is>
      </c>
      <c r="D292" s="5" t="inlineStr">
        <is>
          <t>Technology</t>
        </is>
      </c>
      <c r="E292" s="7" t="n">
        <v>160499</v>
      </c>
      <c r="F292" s="5" t="inlineStr">
        <is>
          <t>RTGS</t>
        </is>
      </c>
      <c r="G292" s="5" t="inlineStr">
        <is>
          <t>Sara Ahmed (VP Finance)</t>
        </is>
      </c>
      <c r="H292" s="5" t="inlineStr">
        <is>
          <t>Travel &amp; Accommodation</t>
        </is>
      </c>
      <c r="I292" s="5" t="inlineStr">
        <is>
          <t>INV-49021</t>
        </is>
      </c>
      <c r="J292" s="5" t="n"/>
      <c r="K292" s="5" t="inlineStr">
        <is>
          <t>Processed</t>
        </is>
      </c>
      <c r="M292">
        <f>COUNTIFS($C$3:$C$500,C292,$E$3:$E$500,E292)</f>
        <v/>
      </c>
    </row>
    <row r="293">
      <c r="A293" s="2" t="inlineStr">
        <is>
          <t>TXN0291</t>
        </is>
      </c>
      <c r="B293" s="3" t="n">
        <v>45443</v>
      </c>
      <c r="C293" s="2" t="inlineStr">
        <is>
          <t>MCB Bank Ltd</t>
        </is>
      </c>
      <c r="D293" s="2" t="inlineStr">
        <is>
          <t>Operations</t>
        </is>
      </c>
      <c r="E293" s="4" t="n">
        <v>44441</v>
      </c>
      <c r="F293" s="2" t="inlineStr">
        <is>
          <t>RTGS</t>
        </is>
      </c>
      <c r="G293" s="2" t="inlineStr">
        <is>
          <t>Usman Tariq (Finance Manager)</t>
        </is>
      </c>
      <c r="H293" s="2" t="inlineStr">
        <is>
          <t>Banking Services</t>
        </is>
      </c>
      <c r="I293" s="2" t="inlineStr">
        <is>
          <t>INV-87060</t>
        </is>
      </c>
      <c r="J293" s="2" t="inlineStr">
        <is>
          <t>Recurring</t>
        </is>
      </c>
      <c r="K293" s="2" t="inlineStr">
        <is>
          <t>Under Review</t>
        </is>
      </c>
      <c r="M293">
        <f>COUNTIFS($C$3:$C$500,C293,$E$3:$E$500,E293)</f>
        <v/>
      </c>
    </row>
    <row r="294">
      <c r="A294" s="5" t="inlineStr">
        <is>
          <t>TXN0292</t>
        </is>
      </c>
      <c r="B294" s="6" t="n">
        <v>45488</v>
      </c>
      <c r="C294" s="5" t="inlineStr">
        <is>
          <t>Singer Pakistan</t>
        </is>
      </c>
      <c r="D294" s="5" t="inlineStr">
        <is>
          <t>Operations</t>
        </is>
      </c>
      <c r="E294" s="7" t="n">
        <v>26005</v>
      </c>
      <c r="F294" s="5" t="inlineStr">
        <is>
          <t>Bank Transfer</t>
        </is>
      </c>
      <c r="G294" s="5" t="inlineStr">
        <is>
          <t>Usman Tariq (Finance Manager)</t>
        </is>
      </c>
      <c r="H294" s="5" t="inlineStr">
        <is>
          <t>Office Supplies</t>
        </is>
      </c>
      <c r="I294" s="5" t="inlineStr">
        <is>
          <t>INV-84720</t>
        </is>
      </c>
      <c r="J294" s="5" t="inlineStr">
        <is>
          <t>Recurring</t>
        </is>
      </c>
      <c r="K294" s="5" t="inlineStr">
        <is>
          <t>Pending</t>
        </is>
      </c>
      <c r="M294">
        <f>COUNTIFS($C$3:$C$500,C294,$E$3:$E$500,E294)</f>
        <v/>
      </c>
    </row>
    <row r="295">
      <c r="A295" s="2" t="inlineStr">
        <is>
          <t>TXN0293</t>
        </is>
      </c>
      <c r="B295" s="3" t="n">
        <v>45548</v>
      </c>
      <c r="C295" s="2" t="inlineStr">
        <is>
          <t>HBL Corporate</t>
        </is>
      </c>
      <c r="D295" s="2" t="inlineStr">
        <is>
          <t>Marketing</t>
        </is>
      </c>
      <c r="E295" s="4" t="n">
        <v>99222</v>
      </c>
      <c r="F295" s="2" t="inlineStr">
        <is>
          <t>RTGS</t>
        </is>
      </c>
      <c r="G295" s="2" t="inlineStr">
        <is>
          <t>Zara Malik (CFO Office)</t>
        </is>
      </c>
      <c r="H295" s="2" t="inlineStr">
        <is>
          <t>Banking Services</t>
        </is>
      </c>
      <c r="I295" s="2" t="inlineStr">
        <is>
          <t>INV-85069</t>
        </is>
      </c>
      <c r="J295" s="2" t="n"/>
      <c r="K295" s="2" t="inlineStr">
        <is>
          <t>Pending</t>
        </is>
      </c>
      <c r="M295">
        <f>COUNTIFS($C$3:$C$500,C295,$E$3:$E$500,E295)</f>
        <v/>
      </c>
    </row>
    <row r="296">
      <c r="A296" s="5" t="inlineStr">
        <is>
          <t>TXN0294</t>
        </is>
      </c>
      <c r="B296" s="6" t="n">
        <v>45524</v>
      </c>
      <c r="C296" s="5" t="inlineStr">
        <is>
          <t>Microsoft Pakistan</t>
        </is>
      </c>
      <c r="D296" s="5" t="inlineStr">
        <is>
          <t>Technology</t>
        </is>
      </c>
      <c r="E296" s="7" t="n">
        <v>583407</v>
      </c>
      <c r="F296" s="5" t="inlineStr">
        <is>
          <t>Bank Transfer</t>
        </is>
      </c>
      <c r="G296" s="5" t="inlineStr">
        <is>
          <t>Omer Saleem (CFO)</t>
        </is>
      </c>
      <c r="H296" s="5" t="inlineStr">
        <is>
          <t>Software License</t>
        </is>
      </c>
      <c r="I296" s="5" t="inlineStr">
        <is>
          <t>INV-42725</t>
        </is>
      </c>
      <c r="J296" s="5" t="n"/>
      <c r="K296" s="5" t="inlineStr">
        <is>
          <t>Processed</t>
        </is>
      </c>
      <c r="M296">
        <f>COUNTIFS($C$3:$C$500,C296,$E$3:$E$500,E296)</f>
        <v/>
      </c>
    </row>
    <row r="297">
      <c r="A297" s="2" t="inlineStr">
        <is>
          <t>TXN0295</t>
        </is>
      </c>
      <c r="B297" s="3" t="n">
        <v>45455</v>
      </c>
      <c r="C297" s="2" t="inlineStr">
        <is>
          <t>Allied Bank Limited</t>
        </is>
      </c>
      <c r="D297" s="2" t="inlineStr">
        <is>
          <t>Customer Experience</t>
        </is>
      </c>
      <c r="E297" s="4" t="n">
        <v>85338</v>
      </c>
      <c r="F297" s="2" t="inlineStr">
        <is>
          <t>Online Transfer</t>
        </is>
      </c>
      <c r="G297" s="2" t="inlineStr">
        <is>
          <t>Zara Malik (CFO Office)</t>
        </is>
      </c>
      <c r="H297" s="2" t="inlineStr">
        <is>
          <t>Banking Services</t>
        </is>
      </c>
      <c r="I297" s="2" t="inlineStr">
        <is>
          <t>INV-59174</t>
        </is>
      </c>
      <c r="J297" s="2" t="inlineStr">
        <is>
          <t>One-time</t>
        </is>
      </c>
      <c r="K297" s="2" t="inlineStr">
        <is>
          <t>Processed</t>
        </is>
      </c>
      <c r="M297">
        <f>COUNTIFS($C$3:$C$500,C297,$E$3:$E$500,E297)</f>
        <v/>
      </c>
    </row>
    <row r="298">
      <c r="A298" s="5" t="inlineStr">
        <is>
          <t>TXN0296</t>
        </is>
      </c>
      <c r="B298" s="6" t="n">
        <v>45525</v>
      </c>
      <c r="C298" s="5" t="inlineStr">
        <is>
          <t>Singer Pakistan</t>
        </is>
      </c>
      <c r="D298" s="5" t="inlineStr">
        <is>
          <t>Technology</t>
        </is>
      </c>
      <c r="E298" s="7" t="n">
        <v>47695</v>
      </c>
      <c r="F298" s="5" t="inlineStr">
        <is>
          <t>Cheque</t>
        </is>
      </c>
      <c r="G298" s="5" t="inlineStr">
        <is>
          <t>Bilal Khan (Head Ops)</t>
        </is>
      </c>
      <c r="H298" s="5" t="inlineStr">
        <is>
          <t>Office Supplies</t>
        </is>
      </c>
      <c r="I298" s="5" t="inlineStr">
        <is>
          <t>INV-73968</t>
        </is>
      </c>
      <c r="J298" s="5" t="inlineStr">
        <is>
          <t>Recurring</t>
        </is>
      </c>
      <c r="K298" s="5" t="inlineStr">
        <is>
          <t>Under Review</t>
        </is>
      </c>
      <c r="M298">
        <f>COUNTIFS($C$3:$C$500,C298,$E$3:$E$500,E298)</f>
        <v/>
      </c>
    </row>
    <row r="299">
      <c r="A299" s="2" t="inlineStr">
        <is>
          <t>TXN0297</t>
        </is>
      </c>
      <c r="B299" s="3" t="n">
        <v>45708</v>
      </c>
      <c r="C299" s="2" t="inlineStr">
        <is>
          <t>Systems Limited</t>
        </is>
      </c>
      <c r="D299" s="2" t="inlineStr">
        <is>
          <t>Risk Management</t>
        </is>
      </c>
      <c r="E299" s="4" t="n">
        <v>256024</v>
      </c>
      <c r="F299" s="2" t="inlineStr">
        <is>
          <t>Bank Transfer</t>
        </is>
      </c>
      <c r="G299" s="2" t="inlineStr">
        <is>
          <t>Omer Saleem (CFO)</t>
        </is>
      </c>
      <c r="H299" s="2" t="inlineStr">
        <is>
          <t>Software License</t>
        </is>
      </c>
      <c r="I299" s="2" t="inlineStr">
        <is>
          <t>INV-80048</t>
        </is>
      </c>
      <c r="J299" s="2" t="inlineStr">
        <is>
          <t>Pre-approved</t>
        </is>
      </c>
      <c r="K299" s="2" t="inlineStr">
        <is>
          <t>Processed</t>
        </is>
      </c>
      <c r="M299">
        <f>COUNTIFS($C$3:$C$500,C299,$E$3:$E$500,E299)</f>
        <v/>
      </c>
    </row>
    <row r="300">
      <c r="A300" s="5" t="inlineStr">
        <is>
          <t>TXN0298</t>
        </is>
      </c>
      <c r="B300" s="6" t="n">
        <v>45548</v>
      </c>
      <c r="C300" s="5" t="inlineStr">
        <is>
          <t>DHL Pakistan</t>
        </is>
      </c>
      <c r="D300" s="5" t="inlineStr">
        <is>
          <t>Finance &amp; Accounts</t>
        </is>
      </c>
      <c r="E300" s="7" t="n">
        <v>45667</v>
      </c>
      <c r="F300" s="5" t="inlineStr">
        <is>
          <t>Online Transfer</t>
        </is>
      </c>
      <c r="G300" s="5" t="inlineStr">
        <is>
          <t>Bilal Khan (Head Ops)</t>
        </is>
      </c>
      <c r="H300" s="5" t="inlineStr">
        <is>
          <t>Courier &amp; Logistics</t>
        </is>
      </c>
      <c r="I300" s="5" t="inlineStr">
        <is>
          <t>INV-81737</t>
        </is>
      </c>
      <c r="J300" s="5" t="n"/>
      <c r="K300" s="5" t="inlineStr">
        <is>
          <t>Under Review</t>
        </is>
      </c>
      <c r="M300">
        <f>COUNTIFS($C$3:$C$500,C300,$E$3:$E$500,E300)</f>
        <v/>
      </c>
    </row>
    <row r="301">
      <c r="A301" s="2" t="inlineStr">
        <is>
          <t>TXN0299</t>
        </is>
      </c>
      <c r="B301" s="3" t="n">
        <v>45433</v>
      </c>
      <c r="C301" s="2" t="inlineStr">
        <is>
          <t>Mashaal Movers</t>
        </is>
      </c>
      <c r="D301" s="2" t="inlineStr">
        <is>
          <t>Operations</t>
        </is>
      </c>
      <c r="E301" s="4" t="n">
        <v>12771</v>
      </c>
      <c r="F301" s="2" t="inlineStr">
        <is>
          <t>Bank Transfer</t>
        </is>
      </c>
      <c r="G301" s="2" t="inlineStr">
        <is>
          <t>Bilal Khan (Head Ops)</t>
        </is>
      </c>
      <c r="H301" s="2" t="inlineStr">
        <is>
          <t>Courier &amp; Logistics</t>
        </is>
      </c>
      <c r="I301" s="2" t="inlineStr">
        <is>
          <t>INV-26284</t>
        </is>
      </c>
      <c r="J301" s="2" t="n"/>
      <c r="K301" s="2" t="inlineStr">
        <is>
          <t>Processed</t>
        </is>
      </c>
      <c r="M301">
        <f>COUNTIFS($C$3:$C$500,C301,$E$3:$E$500,E301)</f>
        <v/>
      </c>
    </row>
    <row r="302">
      <c r="A302" s="5" t="inlineStr">
        <is>
          <t>TXN0300</t>
        </is>
      </c>
      <c r="B302" s="6" t="n">
        <v>45735</v>
      </c>
      <c r="C302" s="5" t="inlineStr">
        <is>
          <t>FedEx Pakistan</t>
        </is>
      </c>
      <c r="D302" s="5" t="inlineStr">
        <is>
          <t>Technology</t>
        </is>
      </c>
      <c r="E302" s="7" t="n">
        <v>40197</v>
      </c>
      <c r="F302" s="5" t="inlineStr">
        <is>
          <t>RTGS</t>
        </is>
      </c>
      <c r="G302" s="5" t="inlineStr">
        <is>
          <t>Usman Tariq (Finance Manager)</t>
        </is>
      </c>
      <c r="H302" s="5" t="inlineStr">
        <is>
          <t>Courier &amp; Logistics</t>
        </is>
      </c>
      <c r="I302" s="5" t="inlineStr">
        <is>
          <t>INV-30837</t>
        </is>
      </c>
      <c r="J302" s="5" t="n"/>
      <c r="K302" s="5" t="inlineStr">
        <is>
          <t>Processed</t>
        </is>
      </c>
      <c r="M302">
        <f>COUNTIFS($C$3:$C$500,C302,$E$3:$E$500,E302)</f>
        <v/>
      </c>
    </row>
    <row r="303">
      <c r="A303" s="2" t="inlineStr">
        <is>
          <t>TXN0301</t>
        </is>
      </c>
      <c r="B303" s="3" t="n">
        <v>45573</v>
      </c>
      <c r="C303" s="2" t="inlineStr">
        <is>
          <t>Punjab Beverages</t>
        </is>
      </c>
      <c r="D303" s="2" t="inlineStr">
        <is>
          <t>Operations</t>
        </is>
      </c>
      <c r="E303" s="4" t="n">
        <v>30606</v>
      </c>
      <c r="F303" s="2" t="inlineStr">
        <is>
          <t>Bank Transfer</t>
        </is>
      </c>
      <c r="G303" s="2" t="inlineStr">
        <is>
          <t>Usman Tariq (Finance Manager)</t>
        </is>
      </c>
      <c r="H303" s="2" t="inlineStr">
        <is>
          <t>Office Supplies</t>
        </is>
      </c>
      <c r="I303" s="2" t="inlineStr">
        <is>
          <t>INV-61949</t>
        </is>
      </c>
      <c r="J303" s="2" t="n"/>
      <c r="K303" s="2" t="inlineStr">
        <is>
          <t>Processed</t>
        </is>
      </c>
      <c r="M303">
        <f>COUNTIFS($C$3:$C$500,C303,$E$3:$E$500,E303)</f>
        <v/>
      </c>
    </row>
    <row r="304">
      <c r="A304" s="5" t="inlineStr">
        <is>
          <t>TXN0302</t>
        </is>
      </c>
      <c r="B304" s="6" t="n">
        <v>45383</v>
      </c>
      <c r="C304" s="5" t="inlineStr">
        <is>
          <t>DHL Pakistan</t>
        </is>
      </c>
      <c r="D304" s="5" t="inlineStr">
        <is>
          <t>Customer Experience</t>
        </is>
      </c>
      <c r="E304" s="7" t="n">
        <v>16382</v>
      </c>
      <c r="F304" s="5" t="inlineStr">
        <is>
          <t>Cheque</t>
        </is>
      </c>
      <c r="G304" s="5" t="inlineStr">
        <is>
          <t>Usman Tariq (Finance Manager)</t>
        </is>
      </c>
      <c r="H304" s="5" t="inlineStr">
        <is>
          <t>Courier &amp; Logistics</t>
        </is>
      </c>
      <c r="I304" s="5" t="inlineStr">
        <is>
          <t>INV-20215</t>
        </is>
      </c>
      <c r="J304" s="5" t="n"/>
      <c r="K304" s="5" t="inlineStr">
        <is>
          <t>Under Review</t>
        </is>
      </c>
      <c r="M304">
        <f>COUNTIFS($C$3:$C$500,C304,$E$3:$E$500,E304)</f>
        <v/>
      </c>
    </row>
    <row r="305">
      <c r="A305" s="2" t="inlineStr">
        <is>
          <t>TXN0303</t>
        </is>
      </c>
      <c r="B305" s="3" t="n">
        <v>45387</v>
      </c>
      <c r="C305" s="2" t="inlineStr">
        <is>
          <t>Ufone Corporate</t>
        </is>
      </c>
      <c r="D305" s="2" t="inlineStr">
        <is>
          <t>Compliance</t>
        </is>
      </c>
      <c r="E305" s="4" t="n">
        <v>74334</v>
      </c>
      <c r="F305" s="2" t="inlineStr">
        <is>
          <t>Bank Transfer</t>
        </is>
      </c>
      <c r="G305" s="2" t="inlineStr">
        <is>
          <t>Zara Malik (CFO Office)</t>
        </is>
      </c>
      <c r="H305" s="2" t="inlineStr">
        <is>
          <t>Telecom</t>
        </is>
      </c>
      <c r="I305" s="2" t="inlineStr">
        <is>
          <t>INV-65353</t>
        </is>
      </c>
      <c r="J305" s="2" t="n"/>
      <c r="K305" s="2" t="inlineStr">
        <is>
          <t>Processed</t>
        </is>
      </c>
      <c r="M305">
        <f>COUNTIFS($C$3:$C$500,C305,$E$3:$E$500,E305)</f>
        <v/>
      </c>
    </row>
    <row r="306">
      <c r="A306" s="5" t="inlineStr">
        <is>
          <t>TXN0304</t>
        </is>
      </c>
      <c r="B306" s="6" t="n">
        <v>45435</v>
      </c>
      <c r="C306" s="5" t="inlineStr">
        <is>
          <t>IBM Pakistan</t>
        </is>
      </c>
      <c r="D306" s="5" t="inlineStr">
        <is>
          <t>Finance &amp; Accounts</t>
        </is>
      </c>
      <c r="E306" s="7" t="n">
        <v>523987</v>
      </c>
      <c r="F306" s="5" t="inlineStr">
        <is>
          <t>Online Transfer</t>
        </is>
      </c>
      <c r="G306" s="5" t="inlineStr">
        <is>
          <t>Omer Saleem (CFO)</t>
        </is>
      </c>
      <c r="H306" s="5" t="inlineStr">
        <is>
          <t>IT Services</t>
        </is>
      </c>
      <c r="I306" s="5" t="inlineStr">
        <is>
          <t>INV-58177</t>
        </is>
      </c>
      <c r="J306" s="5" t="n"/>
      <c r="K306" s="5" t="inlineStr">
        <is>
          <t>Processed</t>
        </is>
      </c>
      <c r="M306">
        <f>COUNTIFS($C$3:$C$500,C306,$E$3:$E$500,E306)</f>
        <v/>
      </c>
    </row>
    <row r="307">
      <c r="A307" s="2" t="inlineStr">
        <is>
          <t>TXN0305</t>
        </is>
      </c>
      <c r="B307" s="3" t="n">
        <v>45418</v>
      </c>
      <c r="C307" s="2" t="inlineStr">
        <is>
          <t>Axis Law Chambers</t>
        </is>
      </c>
      <c r="D307" s="2" t="inlineStr">
        <is>
          <t>Technology</t>
        </is>
      </c>
      <c r="E307" s="4" t="n">
        <v>489557</v>
      </c>
      <c r="F307" s="2" t="inlineStr">
        <is>
          <t>Bank Transfer</t>
        </is>
      </c>
      <c r="G307" s="2" t="inlineStr">
        <is>
          <t>Omer Saleem (CFO)</t>
        </is>
      </c>
      <c r="H307" s="2" t="inlineStr">
        <is>
          <t>Legal Services</t>
        </is>
      </c>
      <c r="I307" s="2" t="inlineStr">
        <is>
          <t>INV-67684</t>
        </is>
      </c>
      <c r="J307" s="2" t="inlineStr">
        <is>
          <t>Recurring</t>
        </is>
      </c>
      <c r="K307" s="2" t="inlineStr">
        <is>
          <t>Processed</t>
        </is>
      </c>
      <c r="M307">
        <f>COUNTIFS($C$3:$C$500,C307,$E$3:$E$500,E307)</f>
        <v/>
      </c>
    </row>
    <row r="308">
      <c r="A308" s="5" t="inlineStr">
        <is>
          <t>TXN0306</t>
        </is>
      </c>
      <c r="B308" s="6" t="n">
        <v>45698</v>
      </c>
      <c r="C308" s="5" t="inlineStr">
        <is>
          <t>Singer Pakistan</t>
        </is>
      </c>
      <c r="D308" s="5" t="inlineStr">
        <is>
          <t>Risk Management</t>
        </is>
      </c>
      <c r="E308" s="7" t="n">
        <v>29512</v>
      </c>
      <c r="F308" s="5" t="inlineStr">
        <is>
          <t>RTGS</t>
        </is>
      </c>
      <c r="G308" s="5" t="inlineStr">
        <is>
          <t>Bilal Khan (Head Ops)</t>
        </is>
      </c>
      <c r="H308" s="5" t="inlineStr">
        <is>
          <t>Office Supplies</t>
        </is>
      </c>
      <c r="I308" s="5" t="inlineStr">
        <is>
          <t>INV-21362</t>
        </is>
      </c>
      <c r="J308" s="5" t="n"/>
      <c r="K308" s="5" t="inlineStr">
        <is>
          <t>Processed</t>
        </is>
      </c>
      <c r="M308">
        <f>COUNTIFS($C$3:$C$500,C308,$E$3:$E$500,E308)</f>
        <v/>
      </c>
    </row>
    <row r="309">
      <c r="A309" s="2" t="inlineStr">
        <is>
          <t>TXN0307</t>
        </is>
      </c>
      <c r="B309" s="3" t="n">
        <v>45602</v>
      </c>
      <c r="C309" s="2" t="inlineStr">
        <is>
          <t>Cisco Systems Pakistan</t>
        </is>
      </c>
      <c r="D309" s="2" t="inlineStr">
        <is>
          <t>Marketing</t>
        </is>
      </c>
      <c r="E309" s="4" t="n">
        <v>489292</v>
      </c>
      <c r="F309" s="2" t="inlineStr">
        <is>
          <t>Bank Transfer</t>
        </is>
      </c>
      <c r="G309" s="2" t="inlineStr">
        <is>
          <t>Omer Saleem (CFO)</t>
        </is>
      </c>
      <c r="H309" s="2" t="inlineStr">
        <is>
          <t>Hardware</t>
        </is>
      </c>
      <c r="I309" s="2" t="inlineStr">
        <is>
          <t>INV-42477</t>
        </is>
      </c>
      <c r="J309" s="2" t="n"/>
      <c r="K309" s="2" t="inlineStr">
        <is>
          <t>Processed</t>
        </is>
      </c>
      <c r="M309">
        <f>COUNTIFS($C$3:$C$500,C309,$E$3:$E$500,E309)</f>
        <v/>
      </c>
    </row>
    <row r="310">
      <c r="A310" s="5" t="inlineStr">
        <is>
          <t>TXN0308</t>
        </is>
      </c>
      <c r="B310" s="6" t="n">
        <v>45736</v>
      </c>
      <c r="C310" s="5" t="inlineStr">
        <is>
          <t>Allied Bank Limited</t>
        </is>
      </c>
      <c r="D310" s="5" t="inlineStr">
        <is>
          <t>Compliance</t>
        </is>
      </c>
      <c r="E310" s="7" t="n">
        <v>109289</v>
      </c>
      <c r="F310" s="5" t="inlineStr">
        <is>
          <t>RTGS</t>
        </is>
      </c>
      <c r="G310" s="5" t="inlineStr">
        <is>
          <t>Sara Ahmed (VP Finance)</t>
        </is>
      </c>
      <c r="H310" s="5" t="inlineStr">
        <is>
          <t>Banking Services</t>
        </is>
      </c>
      <c r="I310" s="5" t="inlineStr">
        <is>
          <t>INV-36928</t>
        </is>
      </c>
      <c r="J310" s="5" t="inlineStr">
        <is>
          <t>Urgent</t>
        </is>
      </c>
      <c r="K310" s="5" t="inlineStr">
        <is>
          <t>Under Review</t>
        </is>
      </c>
      <c r="M310">
        <f>COUNTIFS($C$3:$C$500,C310,$E$3:$E$500,E310)</f>
        <v/>
      </c>
    </row>
    <row r="311">
      <c r="A311" s="2" t="inlineStr">
        <is>
          <t>TXN0309</t>
        </is>
      </c>
      <c r="B311" s="3" t="n">
        <v>45713</v>
      </c>
      <c r="C311" s="2" t="inlineStr">
        <is>
          <t>Pearl Continental Karachi</t>
        </is>
      </c>
      <c r="D311" s="2" t="inlineStr">
        <is>
          <t>Finance &amp; Accounts</t>
        </is>
      </c>
      <c r="E311" s="4" t="n">
        <v>143384</v>
      </c>
      <c r="F311" s="2" t="inlineStr">
        <is>
          <t>RTGS</t>
        </is>
      </c>
      <c r="G311" s="2" t="inlineStr">
        <is>
          <t>Sara Ahmed (VP Finance)</t>
        </is>
      </c>
      <c r="H311" s="2" t="inlineStr">
        <is>
          <t>Travel &amp; Accommodation</t>
        </is>
      </c>
      <c r="I311" s="2" t="inlineStr">
        <is>
          <t>INV-74865</t>
        </is>
      </c>
      <c r="J311" s="2" t="inlineStr">
        <is>
          <t>Pre-approved</t>
        </is>
      </c>
      <c r="K311" s="2" t="inlineStr">
        <is>
          <t>Processed</t>
        </is>
      </c>
      <c r="M311">
        <f>COUNTIFS($C$3:$C$500,C311,$E$3:$E$500,E311)</f>
        <v/>
      </c>
    </row>
    <row r="312">
      <c r="A312" s="5" t="inlineStr">
        <is>
          <t>TXN0310</t>
        </is>
      </c>
      <c r="B312" s="6" t="n">
        <v>45653</v>
      </c>
      <c r="C312" s="5" t="inlineStr">
        <is>
          <t>Allied Bank Limited</t>
        </is>
      </c>
      <c r="D312" s="5" t="inlineStr">
        <is>
          <t>HR &amp; Admin</t>
        </is>
      </c>
      <c r="E312" s="7" t="n">
        <v>110644</v>
      </c>
      <c r="F312" s="5" t="inlineStr">
        <is>
          <t>Online Transfer</t>
        </is>
      </c>
      <c r="G312" s="5" t="inlineStr">
        <is>
          <t>Sara Ahmed (VP Finance)</t>
        </is>
      </c>
      <c r="H312" s="5" t="inlineStr">
        <is>
          <t>Banking Services</t>
        </is>
      </c>
      <c r="I312" s="5" t="inlineStr">
        <is>
          <t>INV-51480</t>
        </is>
      </c>
      <c r="J312" s="5" t="n"/>
      <c r="K312" s="5" t="inlineStr">
        <is>
          <t>Processed</t>
        </is>
      </c>
      <c r="M312">
        <f>COUNTIFS($C$3:$C$500,C312,$E$3:$E$500,E312)</f>
        <v/>
      </c>
    </row>
    <row r="313">
      <c r="A313" s="2" t="inlineStr">
        <is>
          <t>TXN0311</t>
        </is>
      </c>
      <c r="B313" s="3" t="n">
        <v>45471</v>
      </c>
      <c r="C313" s="2" t="inlineStr">
        <is>
          <t>Al-Fatah Electronics</t>
        </is>
      </c>
      <c r="D313" s="2" t="inlineStr">
        <is>
          <t>Operations</t>
        </is>
      </c>
      <c r="E313" s="4" t="n">
        <v>45745</v>
      </c>
      <c r="F313" s="2" t="inlineStr">
        <is>
          <t>Bank Transfer</t>
        </is>
      </c>
      <c r="G313" s="2" t="inlineStr">
        <is>
          <t>Bilal Khan (Head Ops)</t>
        </is>
      </c>
      <c r="H313" s="2" t="inlineStr">
        <is>
          <t>Office Supplies</t>
        </is>
      </c>
      <c r="I313" s="2" t="inlineStr">
        <is>
          <t>INV-12187</t>
        </is>
      </c>
      <c r="J313" s="2" t="n"/>
      <c r="K313" s="2" t="inlineStr">
        <is>
          <t>Processed</t>
        </is>
      </c>
      <c r="M313">
        <f>COUNTIFS($C$3:$C$500,C313,$E$3:$E$500,E313)</f>
        <v/>
      </c>
    </row>
    <row r="314">
      <c r="A314" s="5" t="inlineStr">
        <is>
          <t>TXN0312</t>
        </is>
      </c>
      <c r="B314" s="6" t="n">
        <v>45586</v>
      </c>
      <c r="C314" s="5" t="inlineStr">
        <is>
          <t>MCB Bank Ltd</t>
        </is>
      </c>
      <c r="D314" s="5" t="inlineStr">
        <is>
          <t>Finance &amp; Accounts</t>
        </is>
      </c>
      <c r="E314" s="7" t="n">
        <v>32057</v>
      </c>
      <c r="F314" s="5" t="inlineStr">
        <is>
          <t>Online Transfer</t>
        </is>
      </c>
      <c r="G314" s="5" t="inlineStr">
        <is>
          <t>Bilal Khan (Head Ops)</t>
        </is>
      </c>
      <c r="H314" s="5" t="inlineStr">
        <is>
          <t>Banking Services</t>
        </is>
      </c>
      <c r="I314" s="5" t="inlineStr">
        <is>
          <t>INV-65518</t>
        </is>
      </c>
      <c r="J314" s="5" t="inlineStr">
        <is>
          <t>Pre-approved</t>
        </is>
      </c>
      <c r="K314" s="5" t="inlineStr">
        <is>
          <t>Processed</t>
        </is>
      </c>
      <c r="M314">
        <f>COUNTIFS($C$3:$C$500,C314,$E$3:$E$500,E314)</f>
        <v/>
      </c>
    </row>
    <row r="315">
      <c r="A315" s="2" t="inlineStr">
        <is>
          <t>TXN0313</t>
        </is>
      </c>
      <c r="B315" s="3" t="n">
        <v>45525</v>
      </c>
      <c r="C315" s="2" t="inlineStr">
        <is>
          <t>Singer Pakistan</t>
        </is>
      </c>
      <c r="D315" s="2" t="inlineStr">
        <is>
          <t>Compliance</t>
        </is>
      </c>
      <c r="E315" s="4" t="n">
        <v>50583</v>
      </c>
      <c r="F315" s="2" t="inlineStr">
        <is>
          <t>RTGS</t>
        </is>
      </c>
      <c r="G315" s="2" t="inlineStr">
        <is>
          <t>Sara Ahmed (VP Finance)</t>
        </is>
      </c>
      <c r="H315" s="2" t="inlineStr">
        <is>
          <t>Office Supplies</t>
        </is>
      </c>
      <c r="I315" s="2" t="inlineStr">
        <is>
          <t>INV-20357</t>
        </is>
      </c>
      <c r="J315" s="2" t="inlineStr">
        <is>
          <t>Urgent</t>
        </is>
      </c>
      <c r="K315" s="2" t="inlineStr">
        <is>
          <t>Processed</t>
        </is>
      </c>
      <c r="M315">
        <f>COUNTIFS($C$3:$C$500,C315,$E$3:$E$500,E315)</f>
        <v/>
      </c>
    </row>
    <row r="316">
      <c r="A316" s="5" t="inlineStr">
        <is>
          <t>TXN0314</t>
        </is>
      </c>
      <c r="B316" s="6" t="n">
        <v>45707</v>
      </c>
      <c r="C316" s="5" t="inlineStr">
        <is>
          <t>Zones Pakistan Pvt Ltd</t>
        </is>
      </c>
      <c r="D316" s="5" t="inlineStr">
        <is>
          <t>Compliance</t>
        </is>
      </c>
      <c r="E316" s="7" t="n">
        <v>429870</v>
      </c>
      <c r="F316" s="5" t="inlineStr">
        <is>
          <t>RTGS</t>
        </is>
      </c>
      <c r="G316" s="5" t="inlineStr">
        <is>
          <t>Omer Saleem (CFO)</t>
        </is>
      </c>
      <c r="H316" s="5" t="inlineStr">
        <is>
          <t>Hardware</t>
        </is>
      </c>
      <c r="I316" s="5" t="inlineStr">
        <is>
          <t>INV-67342</t>
        </is>
      </c>
      <c r="J316" s="5" t="n"/>
      <c r="K316" s="5" t="inlineStr">
        <is>
          <t>Processed</t>
        </is>
      </c>
      <c r="M316">
        <f>COUNTIFS($C$3:$C$500,C316,$E$3:$E$500,E316)</f>
        <v/>
      </c>
    </row>
    <row r="317">
      <c r="A317" s="2" t="inlineStr">
        <is>
          <t>TXN0315</t>
        </is>
      </c>
      <c r="B317" s="3" t="n">
        <v>45615</v>
      </c>
      <c r="C317" s="2" t="inlineStr">
        <is>
          <t>Allied Bank Limited</t>
        </is>
      </c>
      <c r="D317" s="2" t="inlineStr">
        <is>
          <t>Technology</t>
        </is>
      </c>
      <c r="E317" s="4" t="n">
        <v>84695</v>
      </c>
      <c r="F317" s="2" t="inlineStr">
        <is>
          <t>RTGS</t>
        </is>
      </c>
      <c r="G317" s="2" t="inlineStr">
        <is>
          <t>Sara Ahmed (VP Finance)</t>
        </is>
      </c>
      <c r="H317" s="2" t="inlineStr">
        <is>
          <t>Banking Services</t>
        </is>
      </c>
      <c r="I317" s="2" t="inlineStr">
        <is>
          <t>INV-97304</t>
        </is>
      </c>
      <c r="J317" s="2" t="n"/>
      <c r="K317" s="2" t="inlineStr">
        <is>
          <t>Processed</t>
        </is>
      </c>
      <c r="M317">
        <f>COUNTIFS($C$3:$C$500,C317,$E$3:$E$500,E317)</f>
        <v/>
      </c>
    </row>
    <row r="318">
      <c r="A318" s="5" t="inlineStr">
        <is>
          <t>TXN0316</t>
        </is>
      </c>
      <c r="B318" s="6" t="n">
        <v>45637</v>
      </c>
      <c r="C318" s="5" t="inlineStr">
        <is>
          <t>Systems Limited</t>
        </is>
      </c>
      <c r="D318" s="5" t="inlineStr">
        <is>
          <t>Risk Management</t>
        </is>
      </c>
      <c r="E318" s="7" t="n">
        <v>294908</v>
      </c>
      <c r="F318" s="5" t="inlineStr">
        <is>
          <t>RTGS</t>
        </is>
      </c>
      <c r="G318" s="5" t="inlineStr">
        <is>
          <t>Omer Saleem (CFO)</t>
        </is>
      </c>
      <c r="H318" s="5" t="inlineStr">
        <is>
          <t>Software License</t>
        </is>
      </c>
      <c r="I318" s="5" t="inlineStr">
        <is>
          <t>INV-31884</t>
        </is>
      </c>
      <c r="J318" s="5" t="inlineStr">
        <is>
          <t>Recurring</t>
        </is>
      </c>
      <c r="K318" s="5" t="inlineStr">
        <is>
          <t>Processed</t>
        </is>
      </c>
      <c r="M318">
        <f>COUNTIFS($C$3:$C$500,C318,$E$3:$E$500,E318)</f>
        <v/>
      </c>
    </row>
    <row r="319">
      <c r="A319" s="2" t="inlineStr">
        <is>
          <t>TXN0317</t>
        </is>
      </c>
      <c r="B319" s="3" t="n">
        <v>45554</v>
      </c>
      <c r="C319" s="2" t="inlineStr">
        <is>
          <t>HBL Corporate</t>
        </is>
      </c>
      <c r="D319" s="2" t="inlineStr">
        <is>
          <t>Risk Management</t>
        </is>
      </c>
      <c r="E319" s="4" t="n">
        <v>41800</v>
      </c>
      <c r="F319" s="2" t="inlineStr">
        <is>
          <t>RTGS</t>
        </is>
      </c>
      <c r="G319" s="2" t="inlineStr">
        <is>
          <t>Bilal Khan (Head Ops)</t>
        </is>
      </c>
      <c r="H319" s="2" t="inlineStr">
        <is>
          <t>Banking Services</t>
        </is>
      </c>
      <c r="I319" s="2" t="inlineStr">
        <is>
          <t>INV-78662</t>
        </is>
      </c>
      <c r="J319" s="2" t="n"/>
      <c r="K319" s="2" t="inlineStr">
        <is>
          <t>Processed</t>
        </is>
      </c>
      <c r="M319">
        <f>COUNTIFS($C$3:$C$500,C319,$E$3:$E$500,E319)</f>
        <v/>
      </c>
    </row>
    <row r="320">
      <c r="A320" s="5" t="inlineStr">
        <is>
          <t>TXN0318</t>
        </is>
      </c>
      <c r="B320" s="6" t="n">
        <v>45616</v>
      </c>
      <c r="C320" s="5" t="inlineStr">
        <is>
          <t>Al-Fatah Electronics</t>
        </is>
      </c>
      <c r="D320" s="5" t="inlineStr">
        <is>
          <t>Customer Experience</t>
        </is>
      </c>
      <c r="E320" s="7" t="n">
        <v>26025</v>
      </c>
      <c r="F320" s="5" t="inlineStr">
        <is>
          <t>Bank Transfer</t>
        </is>
      </c>
      <c r="G320" s="5" t="inlineStr">
        <is>
          <t>Bilal Khan (Head Ops)</t>
        </is>
      </c>
      <c r="H320" s="5" t="inlineStr">
        <is>
          <t>Office Supplies</t>
        </is>
      </c>
      <c r="I320" s="5" t="inlineStr">
        <is>
          <t>INV-75484</t>
        </is>
      </c>
      <c r="J320" s="5" t="n"/>
      <c r="K320" s="5" t="inlineStr">
        <is>
          <t>Processed</t>
        </is>
      </c>
      <c r="M320">
        <f>COUNTIFS($C$3:$C$500,C320,$E$3:$E$500,E320)</f>
        <v/>
      </c>
    </row>
    <row r="321">
      <c r="A321" s="2" t="inlineStr">
        <is>
          <t>TXN0319</t>
        </is>
      </c>
      <c r="B321" s="3" t="n">
        <v>45499</v>
      </c>
      <c r="C321" s="2" t="inlineStr">
        <is>
          <t>Mobilink (Jazz)</t>
        </is>
      </c>
      <c r="D321" s="2" t="inlineStr">
        <is>
          <t>Finance &amp; Accounts</t>
        </is>
      </c>
      <c r="E321" s="4" t="n">
        <v>31223</v>
      </c>
      <c r="F321" s="2" t="inlineStr">
        <is>
          <t>Bank Transfer</t>
        </is>
      </c>
      <c r="G321" s="2" t="inlineStr">
        <is>
          <t>Usman Tariq (Finance Manager)</t>
        </is>
      </c>
      <c r="H321" s="2" t="inlineStr">
        <is>
          <t>Telecom</t>
        </is>
      </c>
      <c r="I321" s="2" t="inlineStr">
        <is>
          <t>INV-11610</t>
        </is>
      </c>
      <c r="J321" s="2" t="n"/>
      <c r="K321" s="2" t="inlineStr">
        <is>
          <t>Processed</t>
        </is>
      </c>
      <c r="M321">
        <f>COUNTIFS($C$3:$C$500,C321,$E$3:$E$500,E321)</f>
        <v/>
      </c>
    </row>
    <row r="322">
      <c r="A322" s="5" t="inlineStr">
        <is>
          <t>TXN0320</t>
        </is>
      </c>
      <c r="B322" s="6" t="n">
        <v>45474</v>
      </c>
      <c r="C322" s="5" t="inlineStr">
        <is>
          <t>National Logistic Cell</t>
        </is>
      </c>
      <c r="D322" s="5" t="inlineStr">
        <is>
          <t>Operations</t>
        </is>
      </c>
      <c r="E322" s="7" t="n">
        <v>36403</v>
      </c>
      <c r="F322" s="5" t="inlineStr">
        <is>
          <t>Online Transfer</t>
        </is>
      </c>
      <c r="G322" s="5" t="inlineStr">
        <is>
          <t>Usman Tariq (Finance Manager)</t>
        </is>
      </c>
      <c r="H322" s="5" t="inlineStr">
        <is>
          <t>Courier &amp; Logistics</t>
        </is>
      </c>
      <c r="I322" s="5" t="inlineStr">
        <is>
          <t>INV-39427</t>
        </is>
      </c>
      <c r="J322" s="5" t="inlineStr">
        <is>
          <t>Recurring</t>
        </is>
      </c>
      <c r="K322" s="5" t="inlineStr">
        <is>
          <t>Processed</t>
        </is>
      </c>
      <c r="M322">
        <f>COUNTIFS($C$3:$C$500,C322,$E$3:$E$500,E322)</f>
        <v/>
      </c>
    </row>
    <row r="323">
      <c r="A323" s="2" t="inlineStr">
        <is>
          <t>TXN0321</t>
        </is>
      </c>
      <c r="B323" s="3" t="n">
        <v>45422</v>
      </c>
      <c r="C323" s="2" t="inlineStr">
        <is>
          <t>TCS Couriers</t>
        </is>
      </c>
      <c r="D323" s="2" t="inlineStr">
        <is>
          <t>Risk Management</t>
        </is>
      </c>
      <c r="E323" s="4" t="n">
        <v>34258</v>
      </c>
      <c r="F323" s="2" t="inlineStr">
        <is>
          <t>Bank Transfer</t>
        </is>
      </c>
      <c r="G323" s="2" t="inlineStr">
        <is>
          <t>Bilal Khan (Head Ops)</t>
        </is>
      </c>
      <c r="H323" s="2" t="inlineStr">
        <is>
          <t>Courier &amp; Logistics</t>
        </is>
      </c>
      <c r="I323" s="2" t="inlineStr">
        <is>
          <t>INV-75803</t>
        </is>
      </c>
      <c r="J323" s="2" t="n"/>
      <c r="K323" s="2" t="inlineStr">
        <is>
          <t>Processed</t>
        </is>
      </c>
      <c r="M323">
        <f>COUNTIFS($C$3:$C$500,C323,$E$3:$E$500,E323)</f>
        <v/>
      </c>
    </row>
    <row r="324">
      <c r="A324" s="5" t="inlineStr">
        <is>
          <t>TXN0322</t>
        </is>
      </c>
      <c r="B324" s="6" t="n">
        <v>45418</v>
      </c>
      <c r="C324" s="5" t="inlineStr">
        <is>
          <t>Ufone Corporate</t>
        </is>
      </c>
      <c r="D324" s="5" t="inlineStr">
        <is>
          <t>Compliance</t>
        </is>
      </c>
      <c r="E324" s="7" t="n">
        <v>28434</v>
      </c>
      <c r="F324" s="5" t="inlineStr">
        <is>
          <t>RTGS</t>
        </is>
      </c>
      <c r="G324" s="5" t="inlineStr">
        <is>
          <t>Bilal Khan (Head Ops)</t>
        </is>
      </c>
      <c r="H324" s="5" t="inlineStr">
        <is>
          <t>Telecom</t>
        </is>
      </c>
      <c r="I324" s="5" t="inlineStr">
        <is>
          <t>INV-50723</t>
        </is>
      </c>
      <c r="J324" s="5" t="inlineStr">
        <is>
          <t>Recurring</t>
        </is>
      </c>
      <c r="K324" s="5" t="inlineStr">
        <is>
          <t>Processed</t>
        </is>
      </c>
      <c r="M324">
        <f>COUNTIFS($C$3:$C$500,C324,$E$3:$E$500,E324)</f>
        <v/>
      </c>
    </row>
    <row r="325">
      <c r="A325" s="2" t="inlineStr">
        <is>
          <t>TXN0323</t>
        </is>
      </c>
      <c r="B325" s="3" t="n">
        <v>45485</v>
      </c>
      <c r="C325" s="2" t="inlineStr">
        <is>
          <t>Avari Towers</t>
        </is>
      </c>
      <c r="D325" s="2" t="inlineStr">
        <is>
          <t>HR &amp; Admin</t>
        </is>
      </c>
      <c r="E325" s="4" t="n">
        <v>43980</v>
      </c>
      <c r="F325" s="2" t="inlineStr">
        <is>
          <t>RTGS</t>
        </is>
      </c>
      <c r="G325" s="2" t="inlineStr">
        <is>
          <t>Bilal Khan (Head Ops)</t>
        </is>
      </c>
      <c r="H325" s="2" t="inlineStr">
        <is>
          <t>Travel &amp; Accommodation</t>
        </is>
      </c>
      <c r="I325" s="2" t="inlineStr">
        <is>
          <t>INV-91620</t>
        </is>
      </c>
      <c r="J325" s="2" t="n"/>
      <c r="K325" s="2" t="inlineStr">
        <is>
          <t>Processed</t>
        </is>
      </c>
      <c r="M325">
        <f>COUNTIFS($C$3:$C$500,C325,$E$3:$E$500,E325)</f>
        <v/>
      </c>
    </row>
    <row r="326">
      <c r="A326" s="5" t="inlineStr">
        <is>
          <t>TXN0324</t>
        </is>
      </c>
      <c r="B326" s="6" t="n">
        <v>45460</v>
      </c>
      <c r="C326" s="5" t="inlineStr">
        <is>
          <t>PwC Pakistan</t>
        </is>
      </c>
      <c r="D326" s="5" t="inlineStr">
        <is>
          <t>Marketing</t>
        </is>
      </c>
      <c r="E326" s="7" t="n">
        <v>721374</v>
      </c>
      <c r="F326" s="5" t="inlineStr">
        <is>
          <t>Online Transfer</t>
        </is>
      </c>
      <c r="G326" s="5" t="inlineStr">
        <is>
          <t>Omer Saleem (CFO)</t>
        </is>
      </c>
      <c r="H326" s="5" t="inlineStr">
        <is>
          <t>Audit &amp; Legal</t>
        </is>
      </c>
      <c r="I326" s="5" t="inlineStr">
        <is>
          <t>INV-13133</t>
        </is>
      </c>
      <c r="J326" s="5" t="n"/>
      <c r="K326" s="5" t="inlineStr">
        <is>
          <t>Pending</t>
        </is>
      </c>
      <c r="M326">
        <f>COUNTIFS($C$3:$C$500,C326,$E$3:$E$500,E326)</f>
        <v/>
      </c>
    </row>
    <row r="327">
      <c r="A327" s="2" t="inlineStr">
        <is>
          <t>TXN0325</t>
        </is>
      </c>
      <c r="B327" s="3" t="n">
        <v>45554</v>
      </c>
      <c r="C327" s="2" t="inlineStr">
        <is>
          <t>EY Pakistan</t>
        </is>
      </c>
      <c r="D327" s="2" t="inlineStr">
        <is>
          <t>Customer Experience</t>
        </is>
      </c>
      <c r="E327" s="4" t="n">
        <v>928150</v>
      </c>
      <c r="F327" s="2" t="inlineStr">
        <is>
          <t>Online Transfer</t>
        </is>
      </c>
      <c r="G327" s="2" t="inlineStr">
        <is>
          <t>Omer Saleem (CFO)</t>
        </is>
      </c>
      <c r="H327" s="2" t="inlineStr">
        <is>
          <t>Audit &amp; Legal</t>
        </is>
      </c>
      <c r="I327" s="2" t="inlineStr">
        <is>
          <t>INV-50306</t>
        </is>
      </c>
      <c r="J327" s="2" t="n"/>
      <c r="K327" s="2" t="inlineStr">
        <is>
          <t>Processed</t>
        </is>
      </c>
      <c r="M327">
        <f>COUNTIFS($C$3:$C$500,C327,$E$3:$E$500,E327)</f>
        <v/>
      </c>
    </row>
    <row r="328">
      <c r="A328" s="5" t="inlineStr">
        <is>
          <t>TXN0326</t>
        </is>
      </c>
      <c r="B328" s="6" t="n">
        <v>45413</v>
      </c>
      <c r="C328" s="5" t="inlineStr">
        <is>
          <t>Marriott Islamabad</t>
        </is>
      </c>
      <c r="D328" s="5" t="inlineStr">
        <is>
          <t>Finance &amp; Accounts</t>
        </is>
      </c>
      <c r="E328" s="7" t="n">
        <v>153960</v>
      </c>
      <c r="F328" s="5" t="inlineStr">
        <is>
          <t>RTGS</t>
        </is>
      </c>
      <c r="G328" s="5" t="inlineStr">
        <is>
          <t>Sara Ahmed (VP Finance)</t>
        </is>
      </c>
      <c r="H328" s="5" t="inlineStr">
        <is>
          <t>Travel &amp; Accommodation</t>
        </is>
      </c>
      <c r="I328" s="5" t="inlineStr">
        <is>
          <t>INV-22193</t>
        </is>
      </c>
      <c r="J328" s="5" t="n"/>
      <c r="K328" s="5" t="inlineStr">
        <is>
          <t>Processed</t>
        </is>
      </c>
      <c r="M328">
        <f>COUNTIFS($C$3:$C$500,C328,$E$3:$E$500,E328)</f>
        <v/>
      </c>
    </row>
    <row r="329">
      <c r="A329" s="2" t="inlineStr">
        <is>
          <t>TXN0327</t>
        </is>
      </c>
      <c r="B329" s="3" t="n">
        <v>45426</v>
      </c>
      <c r="C329" s="2" t="inlineStr">
        <is>
          <t>Marriott Islamabad</t>
        </is>
      </c>
      <c r="D329" s="2" t="inlineStr">
        <is>
          <t>Operations</t>
        </is>
      </c>
      <c r="E329" s="4" t="n">
        <v>141004</v>
      </c>
      <c r="F329" s="2" t="inlineStr">
        <is>
          <t>Bank Transfer</t>
        </is>
      </c>
      <c r="G329" s="2" t="inlineStr">
        <is>
          <t>Sara Ahmed (VP Finance)</t>
        </is>
      </c>
      <c r="H329" s="2" t="inlineStr">
        <is>
          <t>Travel &amp; Accommodation</t>
        </is>
      </c>
      <c r="I329" s="2" t="inlineStr">
        <is>
          <t>INV-93521</t>
        </is>
      </c>
      <c r="J329" s="2" t="inlineStr">
        <is>
          <t>Pre-approved</t>
        </is>
      </c>
      <c r="K329" s="2" t="inlineStr">
        <is>
          <t>Processed</t>
        </is>
      </c>
      <c r="M329">
        <f>COUNTIFS($C$3:$C$500,C329,$E$3:$E$500,E329)</f>
        <v/>
      </c>
    </row>
    <row r="330">
      <c r="A330" s="5" t="inlineStr">
        <is>
          <t>TXN0328</t>
        </is>
      </c>
      <c r="B330" s="6" t="n">
        <v>45722</v>
      </c>
      <c r="C330" s="5" t="inlineStr">
        <is>
          <t>Metro Cash &amp; Carry</t>
        </is>
      </c>
      <c r="D330" s="5" t="inlineStr">
        <is>
          <t>Marketing</t>
        </is>
      </c>
      <c r="E330" s="7" t="n">
        <v>24054</v>
      </c>
      <c r="F330" s="5" t="inlineStr">
        <is>
          <t>RTGS</t>
        </is>
      </c>
      <c r="G330" s="5" t="inlineStr">
        <is>
          <t>Usman Tariq (Finance Manager)</t>
        </is>
      </c>
      <c r="H330" s="5" t="inlineStr">
        <is>
          <t>Office Supplies</t>
        </is>
      </c>
      <c r="I330" s="5" t="inlineStr">
        <is>
          <t>INV-48230</t>
        </is>
      </c>
      <c r="J330" s="5" t="n"/>
      <c r="K330" s="5" t="inlineStr">
        <is>
          <t>Processed</t>
        </is>
      </c>
      <c r="M330">
        <f>COUNTIFS($C$3:$C$500,C330,$E$3:$E$500,E330)</f>
        <v/>
      </c>
    </row>
    <row r="331">
      <c r="A331" s="2" t="inlineStr">
        <is>
          <t>TXN0329</t>
        </is>
      </c>
      <c r="B331" s="3" t="n">
        <v>45614</v>
      </c>
      <c r="C331" s="2" t="inlineStr">
        <is>
          <t>Haidermota &amp; Co</t>
        </is>
      </c>
      <c r="D331" s="2" t="inlineStr">
        <is>
          <t>Risk Management</t>
        </is>
      </c>
      <c r="E331" s="4" t="n">
        <v>327107</v>
      </c>
      <c r="F331" s="2" t="inlineStr">
        <is>
          <t>RTGS</t>
        </is>
      </c>
      <c r="G331" s="2" t="inlineStr">
        <is>
          <t>Omer Saleem (CFO)</t>
        </is>
      </c>
      <c r="H331" s="2" t="inlineStr">
        <is>
          <t>Legal Services</t>
        </is>
      </c>
      <c r="I331" s="2" t="inlineStr">
        <is>
          <t>INV-19789</t>
        </is>
      </c>
      <c r="J331" s="2" t="n"/>
      <c r="K331" s="2" t="inlineStr">
        <is>
          <t>Processed</t>
        </is>
      </c>
      <c r="M331">
        <f>COUNTIFS($C$3:$C$500,C331,$E$3:$E$500,E331)</f>
        <v/>
      </c>
    </row>
    <row r="332">
      <c r="A332" s="5" t="inlineStr">
        <is>
          <t>TXN0330</t>
        </is>
      </c>
      <c r="B332" s="6" t="n">
        <v>45467</v>
      </c>
      <c r="C332" s="5" t="inlineStr">
        <is>
          <t>Metro Cash &amp; Carry</t>
        </is>
      </c>
      <c r="D332" s="5" t="inlineStr">
        <is>
          <t>Technology</t>
        </is>
      </c>
      <c r="E332" s="7" t="n">
        <v>24762</v>
      </c>
      <c r="F332" s="5" t="inlineStr">
        <is>
          <t>Cheque</t>
        </is>
      </c>
      <c r="G332" s="5" t="inlineStr">
        <is>
          <t>Bilal Khan (Head Ops)</t>
        </is>
      </c>
      <c r="H332" s="5" t="inlineStr">
        <is>
          <t>Office Supplies</t>
        </is>
      </c>
      <c r="I332" s="5" t="inlineStr">
        <is>
          <t>INV-51160</t>
        </is>
      </c>
      <c r="J332" s="5" t="inlineStr">
        <is>
          <t>Pre-approved</t>
        </is>
      </c>
      <c r="K332" s="5" t="inlineStr">
        <is>
          <t>Processed</t>
        </is>
      </c>
      <c r="M332">
        <f>COUNTIFS($C$3:$C$500,C332,$E$3:$E$500,E332)</f>
        <v/>
      </c>
    </row>
    <row r="333">
      <c r="A333" s="2" t="inlineStr">
        <is>
          <t>TXN0331</t>
        </is>
      </c>
      <c r="B333" s="3" t="n">
        <v>45540</v>
      </c>
      <c r="C333" s="2" t="inlineStr">
        <is>
          <t>Serena Hotel Lahore</t>
        </is>
      </c>
      <c r="D333" s="2" t="inlineStr">
        <is>
          <t>Operations</t>
        </is>
      </c>
      <c r="E333" s="4" t="n">
        <v>97681</v>
      </c>
      <c r="F333" s="2" t="inlineStr">
        <is>
          <t>RTGS</t>
        </is>
      </c>
      <c r="G333" s="2" t="inlineStr">
        <is>
          <t>Zara Malik (CFO Office)</t>
        </is>
      </c>
      <c r="H333" s="2" t="inlineStr">
        <is>
          <t>Travel &amp; Accommodation</t>
        </is>
      </c>
      <c r="I333" s="2" t="inlineStr">
        <is>
          <t>INV-25717</t>
        </is>
      </c>
      <c r="J333" s="2" t="n"/>
      <c r="K333" s="2" t="inlineStr">
        <is>
          <t>Processed</t>
        </is>
      </c>
      <c r="M333">
        <f>COUNTIFS($C$3:$C$500,C333,$E$3:$E$500,E333)</f>
        <v/>
      </c>
    </row>
    <row r="334">
      <c r="A334" s="5" t="inlineStr">
        <is>
          <t>TXN0332</t>
        </is>
      </c>
      <c r="B334" s="6" t="n">
        <v>45429</v>
      </c>
      <c r="C334" s="5" t="inlineStr">
        <is>
          <t>UBL Corporate</t>
        </is>
      </c>
      <c r="D334" s="5" t="inlineStr">
        <is>
          <t>Risk Management</t>
        </is>
      </c>
      <c r="E334" s="7" t="n">
        <v>117848</v>
      </c>
      <c r="F334" s="5" t="inlineStr">
        <is>
          <t>Online Transfer</t>
        </is>
      </c>
      <c r="G334" s="5" t="inlineStr">
        <is>
          <t>Sara Ahmed (VP Finance)</t>
        </is>
      </c>
      <c r="H334" s="5" t="inlineStr">
        <is>
          <t>Banking Services</t>
        </is>
      </c>
      <c r="I334" s="5" t="inlineStr">
        <is>
          <t>INV-61936</t>
        </is>
      </c>
      <c r="J334" s="5" t="inlineStr">
        <is>
          <t>Urgent</t>
        </is>
      </c>
      <c r="K334" s="5" t="inlineStr">
        <is>
          <t>Processed</t>
        </is>
      </c>
      <c r="M334">
        <f>COUNTIFS($C$3:$C$500,C334,$E$3:$E$500,E334)</f>
        <v/>
      </c>
    </row>
    <row r="335">
      <c r="A335" s="2" t="inlineStr">
        <is>
          <t>TXN0333</t>
        </is>
      </c>
      <c r="B335" s="3" t="n">
        <v>45590</v>
      </c>
      <c r="C335" s="2" t="inlineStr">
        <is>
          <t>UBL Corporate</t>
        </is>
      </c>
      <c r="D335" s="2" t="inlineStr">
        <is>
          <t>Finance &amp; Accounts</t>
        </is>
      </c>
      <c r="E335" s="4" t="n">
        <v>49145</v>
      </c>
      <c r="F335" s="2" t="inlineStr">
        <is>
          <t>RTGS</t>
        </is>
      </c>
      <c r="G335" s="2" t="inlineStr">
        <is>
          <t>Bilal Khan (Head Ops)</t>
        </is>
      </c>
      <c r="H335" s="2" t="inlineStr">
        <is>
          <t>Banking Services</t>
        </is>
      </c>
      <c r="I335" s="2" t="inlineStr">
        <is>
          <t>INV-22415</t>
        </is>
      </c>
      <c r="J335" s="2" t="inlineStr">
        <is>
          <t>One-time</t>
        </is>
      </c>
      <c r="K335" s="2" t="inlineStr">
        <is>
          <t>Processed</t>
        </is>
      </c>
      <c r="M335">
        <f>COUNTIFS($C$3:$C$500,C335,$E$3:$E$500,E335)</f>
        <v/>
      </c>
    </row>
    <row r="336">
      <c r="A336" s="5" t="inlineStr">
        <is>
          <t>TXN0334</t>
        </is>
      </c>
      <c r="B336" s="6" t="n">
        <v>45496</v>
      </c>
      <c r="C336" s="5" t="inlineStr">
        <is>
          <t>Teradata Pakistan</t>
        </is>
      </c>
      <c r="D336" s="5" t="inlineStr">
        <is>
          <t>Technology</t>
        </is>
      </c>
      <c r="E336" s="7" t="n">
        <v>134394</v>
      </c>
      <c r="F336" s="5" t="inlineStr">
        <is>
          <t>RTGS</t>
        </is>
      </c>
      <c r="G336" s="5" t="inlineStr">
        <is>
          <t>Sara Ahmed (VP Finance)</t>
        </is>
      </c>
      <c r="H336" s="5" t="inlineStr">
        <is>
          <t>IT Services</t>
        </is>
      </c>
      <c r="I336" s="5" t="inlineStr">
        <is>
          <t>INV-62505</t>
        </is>
      </c>
      <c r="J336" s="5" t="inlineStr">
        <is>
          <t>Recurring</t>
        </is>
      </c>
      <c r="K336" s="5" t="inlineStr">
        <is>
          <t>Processed</t>
        </is>
      </c>
      <c r="M336">
        <f>COUNTIFS($C$3:$C$500,C336,$E$3:$E$500,E336)</f>
        <v/>
      </c>
    </row>
    <row r="337">
      <c r="A337" s="2" t="inlineStr">
        <is>
          <t>TXN0335</t>
        </is>
      </c>
      <c r="B337" s="3" t="n">
        <v>45394</v>
      </c>
      <c r="C337" s="2" t="inlineStr">
        <is>
          <t>Metro Cash &amp; Carry</t>
        </is>
      </c>
      <c r="D337" s="2" t="inlineStr">
        <is>
          <t>Marketing</t>
        </is>
      </c>
      <c r="E337" s="4" t="n">
        <v>31037</v>
      </c>
      <c r="F337" s="2" t="inlineStr">
        <is>
          <t>RTGS</t>
        </is>
      </c>
      <c r="G337" s="2" t="inlineStr">
        <is>
          <t>Usman Tariq (Finance Manager)</t>
        </is>
      </c>
      <c r="H337" s="2" t="inlineStr">
        <is>
          <t>Office Supplies</t>
        </is>
      </c>
      <c r="I337" s="2" t="inlineStr">
        <is>
          <t>INV-94670</t>
        </is>
      </c>
      <c r="J337" s="2" t="inlineStr">
        <is>
          <t>One-time</t>
        </is>
      </c>
      <c r="K337" s="2" t="inlineStr">
        <is>
          <t>Processed</t>
        </is>
      </c>
      <c r="M337">
        <f>COUNTIFS($C$3:$C$500,C337,$E$3:$E$500,E337)</f>
        <v/>
      </c>
    </row>
    <row r="338">
      <c r="A338" s="5" t="inlineStr">
        <is>
          <t>TXN0336</t>
        </is>
      </c>
      <c r="B338" s="6" t="n">
        <v>45408</v>
      </c>
      <c r="C338" s="5" t="inlineStr">
        <is>
          <t>Oracle Pakistan Pvt Ltd</t>
        </is>
      </c>
      <c r="D338" s="5" t="inlineStr">
        <is>
          <t>Operations</t>
        </is>
      </c>
      <c r="E338" s="7" t="n">
        <v>280025</v>
      </c>
      <c r="F338" s="5" t="inlineStr">
        <is>
          <t>Online Transfer</t>
        </is>
      </c>
      <c r="G338" s="5" t="inlineStr">
        <is>
          <t>Omer Saleem (CFO)</t>
        </is>
      </c>
      <c r="H338" s="5" t="inlineStr">
        <is>
          <t>Software License</t>
        </is>
      </c>
      <c r="I338" s="5" t="inlineStr">
        <is>
          <t>INV-61773</t>
        </is>
      </c>
      <c r="J338" s="5" t="inlineStr">
        <is>
          <t>One-time</t>
        </is>
      </c>
      <c r="K338" s="5" t="inlineStr">
        <is>
          <t>Processed</t>
        </is>
      </c>
      <c r="M338">
        <f>COUNTIFS($C$3:$C$500,C338,$E$3:$E$500,E338)</f>
        <v/>
      </c>
    </row>
    <row r="339">
      <c r="A339" s="2" t="inlineStr">
        <is>
          <t>TXN0337</t>
        </is>
      </c>
      <c r="B339" s="3" t="n">
        <v>45492</v>
      </c>
      <c r="C339" s="2" t="inlineStr">
        <is>
          <t>Axis Law Chambers</t>
        </is>
      </c>
      <c r="D339" s="2" t="inlineStr">
        <is>
          <t>Customer Experience</t>
        </is>
      </c>
      <c r="E339" s="4" t="n">
        <v>377372</v>
      </c>
      <c r="F339" s="2" t="inlineStr">
        <is>
          <t>RTGS</t>
        </is>
      </c>
      <c r="G339" s="2" t="inlineStr">
        <is>
          <t>Omer Saleem (CFO)</t>
        </is>
      </c>
      <c r="H339" s="2" t="inlineStr">
        <is>
          <t>Legal Services</t>
        </is>
      </c>
      <c r="I339" s="2" t="inlineStr">
        <is>
          <t>INV-46681</t>
        </is>
      </c>
      <c r="J339" s="2" t="inlineStr">
        <is>
          <t>One-time</t>
        </is>
      </c>
      <c r="K339" s="2" t="inlineStr">
        <is>
          <t>Processed</t>
        </is>
      </c>
      <c r="M339">
        <f>COUNTIFS($C$3:$C$500,C339,$E$3:$E$500,E339)</f>
        <v/>
      </c>
    </row>
    <row r="340">
      <c r="A340" s="5" t="inlineStr">
        <is>
          <t>TXN0338</t>
        </is>
      </c>
      <c r="B340" s="6" t="n">
        <v>45714</v>
      </c>
      <c r="C340" s="5" t="inlineStr">
        <is>
          <t>TechAccess Pakistan</t>
        </is>
      </c>
      <c r="D340" s="5" t="inlineStr">
        <is>
          <t>Marketing</t>
        </is>
      </c>
      <c r="E340" s="7" t="n">
        <v>734126</v>
      </c>
      <c r="F340" s="5" t="inlineStr">
        <is>
          <t>Cheque</t>
        </is>
      </c>
      <c r="G340" s="5" t="inlineStr">
        <is>
          <t>Omer Saleem (CFO)</t>
        </is>
      </c>
      <c r="H340" s="5" t="inlineStr">
        <is>
          <t>Hardware</t>
        </is>
      </c>
      <c r="I340" s="5" t="inlineStr">
        <is>
          <t>INV-64000</t>
        </is>
      </c>
      <c r="J340" s="5" t="inlineStr">
        <is>
          <t>Urgent</t>
        </is>
      </c>
      <c r="K340" s="5" t="inlineStr">
        <is>
          <t>Processed</t>
        </is>
      </c>
      <c r="M340">
        <f>COUNTIFS($C$3:$C$500,C340,$E$3:$E$500,E340)</f>
        <v/>
      </c>
    </row>
    <row r="341">
      <c r="A341" s="2" t="inlineStr">
        <is>
          <t>TXN0339</t>
        </is>
      </c>
      <c r="B341" s="3" t="n">
        <v>45453</v>
      </c>
      <c r="C341" s="2" t="inlineStr">
        <is>
          <t>Inbox Business Technologies</t>
        </is>
      </c>
      <c r="D341" s="2" t="inlineStr">
        <is>
          <t>Technology</t>
        </is>
      </c>
      <c r="E341" s="4" t="n">
        <v>420488</v>
      </c>
      <c r="F341" s="2" t="inlineStr">
        <is>
          <t>RTGS</t>
        </is>
      </c>
      <c r="G341" s="2" t="inlineStr">
        <is>
          <t>Omer Saleem (CFO)</t>
        </is>
      </c>
      <c r="H341" s="2" t="inlineStr">
        <is>
          <t>IT Services</t>
        </is>
      </c>
      <c r="I341" s="2" t="inlineStr">
        <is>
          <t>INV-94233</t>
        </is>
      </c>
      <c r="J341" s="2" t="inlineStr">
        <is>
          <t>Urgent</t>
        </is>
      </c>
      <c r="K341" s="2" t="inlineStr">
        <is>
          <t>Processed</t>
        </is>
      </c>
      <c r="M341">
        <f>COUNTIFS($C$3:$C$500,C341,$E$3:$E$500,E341)</f>
        <v/>
      </c>
    </row>
    <row r="342">
      <c r="A342" s="5" t="inlineStr">
        <is>
          <t>TXN0340</t>
        </is>
      </c>
      <c r="B342" s="6" t="n">
        <v>45566</v>
      </c>
      <c r="C342" s="5" t="inlineStr">
        <is>
          <t>Singer Pakistan</t>
        </is>
      </c>
      <c r="D342" s="5" t="inlineStr">
        <is>
          <t>Compliance</t>
        </is>
      </c>
      <c r="E342" s="7" t="n">
        <v>65257</v>
      </c>
      <c r="F342" s="5" t="inlineStr">
        <is>
          <t>Cheque</t>
        </is>
      </c>
      <c r="G342" s="5" t="inlineStr">
        <is>
          <t>Zara Malik (CFO Office)</t>
        </is>
      </c>
      <c r="H342" s="5" t="inlineStr">
        <is>
          <t>Office Supplies</t>
        </is>
      </c>
      <c r="I342" s="5" t="inlineStr">
        <is>
          <t>INV-55093</t>
        </is>
      </c>
      <c r="J342" s="5" t="inlineStr">
        <is>
          <t>Urgent</t>
        </is>
      </c>
      <c r="K342" s="5" t="inlineStr">
        <is>
          <t>Processed</t>
        </is>
      </c>
      <c r="M342">
        <f>COUNTIFS($C$3:$C$500,C342,$E$3:$E$500,E342)</f>
        <v/>
      </c>
    </row>
    <row r="343">
      <c r="A343" s="2" t="inlineStr">
        <is>
          <t>TXN0341</t>
        </is>
      </c>
      <c r="B343" s="3" t="n">
        <v>45546</v>
      </c>
      <c r="C343" s="2" t="inlineStr">
        <is>
          <t>Axis Law Chambers</t>
        </is>
      </c>
      <c r="D343" s="2" t="inlineStr">
        <is>
          <t>Finance &amp; Accounts</t>
        </is>
      </c>
      <c r="E343" s="4" t="n">
        <v>245549</v>
      </c>
      <c r="F343" s="2" t="inlineStr">
        <is>
          <t>Bank Transfer</t>
        </is>
      </c>
      <c r="G343" s="2" t="inlineStr">
        <is>
          <t>Omer Saleem (CFO)</t>
        </is>
      </c>
      <c r="H343" s="2" t="inlineStr">
        <is>
          <t>Legal Services</t>
        </is>
      </c>
      <c r="I343" s="2" t="inlineStr">
        <is>
          <t>INV-46822</t>
        </is>
      </c>
      <c r="J343" s="2" t="n"/>
      <c r="K343" s="2" t="inlineStr">
        <is>
          <t>Processed</t>
        </is>
      </c>
      <c r="M343">
        <f>COUNTIFS($C$3:$C$500,C343,$E$3:$E$500,E343)</f>
        <v/>
      </c>
    </row>
    <row r="344">
      <c r="A344" s="5" t="inlineStr">
        <is>
          <t>TXN0342</t>
        </is>
      </c>
      <c r="B344" s="6" t="n">
        <v>45434</v>
      </c>
      <c r="C344" s="5" t="inlineStr">
        <is>
          <t>Marriott Islamabad</t>
        </is>
      </c>
      <c r="D344" s="5" t="inlineStr">
        <is>
          <t>Operations</t>
        </is>
      </c>
      <c r="E344" s="7" t="n">
        <v>99479</v>
      </c>
      <c r="F344" s="5" t="inlineStr">
        <is>
          <t>RTGS</t>
        </is>
      </c>
      <c r="G344" s="5" t="inlineStr">
        <is>
          <t>Sara Ahmed (VP Finance)</t>
        </is>
      </c>
      <c r="H344" s="5" t="inlineStr">
        <is>
          <t>Travel &amp; Accommodation</t>
        </is>
      </c>
      <c r="I344" s="5" t="inlineStr">
        <is>
          <t>INV-44934</t>
        </is>
      </c>
      <c r="J344" s="5" t="inlineStr">
        <is>
          <t>Urgent</t>
        </is>
      </c>
      <c r="K344" s="5" t="inlineStr">
        <is>
          <t>Processed</t>
        </is>
      </c>
      <c r="M344">
        <f>COUNTIFS($C$3:$C$500,C344,$E$3:$E$500,E344)</f>
        <v/>
      </c>
    </row>
    <row r="345">
      <c r="A345" s="2" t="inlineStr">
        <is>
          <t>TXN0343</t>
        </is>
      </c>
      <c r="B345" s="3" t="n">
        <v>45471</v>
      </c>
      <c r="C345" s="2" t="inlineStr">
        <is>
          <t>Ufone Corporate</t>
        </is>
      </c>
      <c r="D345" s="2" t="inlineStr">
        <is>
          <t>Marketing</t>
        </is>
      </c>
      <c r="E345" s="4" t="n">
        <v>72571</v>
      </c>
      <c r="F345" s="2" t="inlineStr">
        <is>
          <t>RTGS</t>
        </is>
      </c>
      <c r="G345" s="2" t="inlineStr">
        <is>
          <t>Sara Ahmed (VP Finance)</t>
        </is>
      </c>
      <c r="H345" s="2" t="inlineStr">
        <is>
          <t>Telecom</t>
        </is>
      </c>
      <c r="I345" s="2" t="inlineStr">
        <is>
          <t>INV-87662</t>
        </is>
      </c>
      <c r="J345" s="2" t="inlineStr">
        <is>
          <t>Recurring</t>
        </is>
      </c>
      <c r="K345" s="2" t="inlineStr">
        <is>
          <t>Processed</t>
        </is>
      </c>
      <c r="M345">
        <f>COUNTIFS($C$3:$C$500,C345,$E$3:$E$500,E345)</f>
        <v/>
      </c>
    </row>
    <row r="346">
      <c r="A346" s="5" t="inlineStr">
        <is>
          <t>TXN0344</t>
        </is>
      </c>
      <c r="B346" s="6" t="n">
        <v>45673</v>
      </c>
      <c r="C346" s="5" t="inlineStr">
        <is>
          <t>Metro Cash &amp; Carry</t>
        </is>
      </c>
      <c r="D346" s="5" t="inlineStr">
        <is>
          <t>Technology</t>
        </is>
      </c>
      <c r="E346" s="7" t="n">
        <v>64709</v>
      </c>
      <c r="F346" s="5" t="inlineStr">
        <is>
          <t>RTGS</t>
        </is>
      </c>
      <c r="G346" s="5" t="inlineStr">
        <is>
          <t>Sara Ahmed (VP Finance)</t>
        </is>
      </c>
      <c r="H346" s="5" t="inlineStr">
        <is>
          <t>Office Supplies</t>
        </is>
      </c>
      <c r="I346" s="5" t="inlineStr">
        <is>
          <t>INV-74517</t>
        </is>
      </c>
      <c r="J346" s="5" t="inlineStr">
        <is>
          <t>Urgent</t>
        </is>
      </c>
      <c r="K346" s="5" t="inlineStr">
        <is>
          <t>Processed</t>
        </is>
      </c>
      <c r="M346">
        <f>COUNTIFS($C$3:$C$500,C346,$E$3:$E$500,E346)</f>
        <v/>
      </c>
    </row>
    <row r="347">
      <c r="A347" s="2" t="inlineStr">
        <is>
          <t>TXN0345</t>
        </is>
      </c>
      <c r="B347" s="3" t="n">
        <v>45411</v>
      </c>
      <c r="C347" s="2" t="inlineStr">
        <is>
          <t>Telenor Pakistan</t>
        </is>
      </c>
      <c r="D347" s="2" t="inlineStr">
        <is>
          <t>HR &amp; Admin</t>
        </is>
      </c>
      <c r="E347" s="4" t="n">
        <v>22300</v>
      </c>
      <c r="F347" s="2" t="inlineStr">
        <is>
          <t>RTGS</t>
        </is>
      </c>
      <c r="G347" s="2" t="inlineStr">
        <is>
          <t>Usman Tariq (Finance Manager)</t>
        </is>
      </c>
      <c r="H347" s="2" t="inlineStr">
        <is>
          <t>Telecom</t>
        </is>
      </c>
      <c r="I347" s="2" t="inlineStr">
        <is>
          <t>INV-12612</t>
        </is>
      </c>
      <c r="J347" s="2" t="inlineStr">
        <is>
          <t>Urgent</t>
        </is>
      </c>
      <c r="K347" s="2" t="inlineStr">
        <is>
          <t>Processed</t>
        </is>
      </c>
      <c r="M347">
        <f>COUNTIFS($C$3:$C$500,C347,$E$3:$E$500,E347)</f>
        <v/>
      </c>
    </row>
    <row r="348">
      <c r="A348" s="5" t="inlineStr">
        <is>
          <t>TXN0346</t>
        </is>
      </c>
      <c r="B348" s="6" t="n">
        <v>45449</v>
      </c>
      <c r="C348" s="5" t="inlineStr">
        <is>
          <t>Systems Limited</t>
        </is>
      </c>
      <c r="D348" s="5" t="inlineStr">
        <is>
          <t>Operations</t>
        </is>
      </c>
      <c r="E348" s="7" t="n">
        <v>798113</v>
      </c>
      <c r="F348" s="5" t="inlineStr">
        <is>
          <t>Bank Transfer</t>
        </is>
      </c>
      <c r="G348" s="5" t="inlineStr">
        <is>
          <t>Omer Saleem (CFO)</t>
        </is>
      </c>
      <c r="H348" s="5" t="inlineStr">
        <is>
          <t>Software License</t>
        </is>
      </c>
      <c r="I348" s="5" t="inlineStr">
        <is>
          <t>INV-52413</t>
        </is>
      </c>
      <c r="J348" s="5" t="n"/>
      <c r="K348" s="5" t="inlineStr">
        <is>
          <t>Processed</t>
        </is>
      </c>
      <c r="M348">
        <f>COUNTIFS($C$3:$C$500,C348,$E$3:$E$500,E348)</f>
        <v/>
      </c>
    </row>
    <row r="349">
      <c r="A349" s="2" t="inlineStr">
        <is>
          <t>TXN0347</t>
        </is>
      </c>
      <c r="B349" s="3" t="n">
        <v>45652</v>
      </c>
      <c r="C349" s="2" t="inlineStr">
        <is>
          <t>Zones Pakistan Pvt Ltd</t>
        </is>
      </c>
      <c r="D349" s="2" t="inlineStr">
        <is>
          <t>Marketing</t>
        </is>
      </c>
      <c r="E349" s="4" t="n">
        <v>231197</v>
      </c>
      <c r="F349" s="2" t="inlineStr">
        <is>
          <t>Bank Transfer</t>
        </is>
      </c>
      <c r="G349" s="2" t="inlineStr">
        <is>
          <t>Omer Saleem (CFO)</t>
        </is>
      </c>
      <c r="H349" s="2" t="inlineStr">
        <is>
          <t>Hardware</t>
        </is>
      </c>
      <c r="I349" s="2" t="inlineStr">
        <is>
          <t>INV-58967</t>
        </is>
      </c>
      <c r="J349" s="2" t="inlineStr">
        <is>
          <t>Pre-approved</t>
        </is>
      </c>
      <c r="K349" s="2" t="inlineStr">
        <is>
          <t>Under Review</t>
        </is>
      </c>
      <c r="M349">
        <f>COUNTIFS($C$3:$C$500,C349,$E$3:$E$500,E349)</f>
        <v/>
      </c>
    </row>
    <row r="350">
      <c r="A350" s="5" t="inlineStr">
        <is>
          <t>TXN0348</t>
        </is>
      </c>
      <c r="B350" s="6" t="n">
        <v>45463</v>
      </c>
      <c r="C350" s="5" t="inlineStr">
        <is>
          <t>Microsoft Pakistan</t>
        </is>
      </c>
      <c r="D350" s="5" t="inlineStr">
        <is>
          <t>Operations</t>
        </is>
      </c>
      <c r="E350" s="7" t="n">
        <v>472555</v>
      </c>
      <c r="F350" s="5" t="inlineStr">
        <is>
          <t>Cheque</t>
        </is>
      </c>
      <c r="G350" s="5" t="inlineStr">
        <is>
          <t>Omer Saleem (CFO)</t>
        </is>
      </c>
      <c r="H350" s="5" t="inlineStr">
        <is>
          <t>Software License</t>
        </is>
      </c>
      <c r="I350" s="5" t="inlineStr">
        <is>
          <t>INV-95089</t>
        </is>
      </c>
      <c r="J350" s="5" t="inlineStr">
        <is>
          <t>Recurring</t>
        </is>
      </c>
      <c r="K350" s="5" t="inlineStr">
        <is>
          <t>Processed</t>
        </is>
      </c>
      <c r="M350">
        <f>COUNTIFS($C$3:$C$500,C350,$E$3:$E$500,E350)</f>
        <v/>
      </c>
    </row>
    <row r="351">
      <c r="A351" s="2" t="inlineStr">
        <is>
          <t>TXN0349</t>
        </is>
      </c>
      <c r="B351" s="3" t="n">
        <v>45723</v>
      </c>
      <c r="C351" s="2" t="inlineStr">
        <is>
          <t>Avari Towers</t>
        </is>
      </c>
      <c r="D351" s="2" t="inlineStr">
        <is>
          <t>Risk Management</t>
        </is>
      </c>
      <c r="E351" s="4" t="n">
        <v>133043</v>
      </c>
      <c r="F351" s="2" t="inlineStr">
        <is>
          <t>Online Transfer</t>
        </is>
      </c>
      <c r="G351" s="2" t="inlineStr">
        <is>
          <t>Sara Ahmed (VP Finance)</t>
        </is>
      </c>
      <c r="H351" s="2" t="inlineStr">
        <is>
          <t>Travel &amp; Accommodation</t>
        </is>
      </c>
      <c r="I351" s="2" t="inlineStr">
        <is>
          <t>INV-50215</t>
        </is>
      </c>
      <c r="J351" s="2" t="n"/>
      <c r="K351" s="2" t="inlineStr">
        <is>
          <t>Processed</t>
        </is>
      </c>
      <c r="M351">
        <f>COUNTIFS($C$3:$C$500,C351,$E$3:$E$500,E351)</f>
        <v/>
      </c>
    </row>
    <row r="352">
      <c r="A352" s="5" t="inlineStr">
        <is>
          <t>TXN0350</t>
        </is>
      </c>
      <c r="B352" s="6" t="n">
        <v>45673</v>
      </c>
      <c r="C352" s="5" t="inlineStr">
        <is>
          <t>Telenor Pakistan</t>
        </is>
      </c>
      <c r="D352" s="5" t="inlineStr">
        <is>
          <t>Risk Management</t>
        </is>
      </c>
      <c r="E352" s="7" t="n">
        <v>22497</v>
      </c>
      <c r="F352" s="5" t="inlineStr">
        <is>
          <t>Bank Transfer</t>
        </is>
      </c>
      <c r="G352" s="5" t="inlineStr">
        <is>
          <t>Usman Tariq (Finance Manager)</t>
        </is>
      </c>
      <c r="H352" s="5" t="inlineStr">
        <is>
          <t>Telecom</t>
        </is>
      </c>
      <c r="I352" s="5" t="inlineStr">
        <is>
          <t>INV-88956</t>
        </is>
      </c>
      <c r="J352" s="5" t="inlineStr">
        <is>
          <t>Recurring</t>
        </is>
      </c>
      <c r="K352" s="5" t="inlineStr">
        <is>
          <t>Under Review</t>
        </is>
      </c>
      <c r="M352">
        <f>COUNTIFS($C$3:$C$500,C352,$E$3:$E$500,E352)</f>
        <v/>
      </c>
    </row>
    <row r="353">
      <c r="A353" s="2" t="inlineStr">
        <is>
          <t>TXN0351</t>
        </is>
      </c>
      <c r="B353" s="3" t="n">
        <v>45455</v>
      </c>
      <c r="C353" s="2" t="inlineStr">
        <is>
          <t>Ufone Corporate</t>
        </is>
      </c>
      <c r="D353" s="2" t="inlineStr">
        <is>
          <t>Customer Experience</t>
        </is>
      </c>
      <c r="E353" s="4" t="n">
        <v>37621</v>
      </c>
      <c r="F353" s="2" t="inlineStr">
        <is>
          <t>Bank Transfer</t>
        </is>
      </c>
      <c r="G353" s="2" t="inlineStr">
        <is>
          <t>Bilal Khan (Head Ops)</t>
        </is>
      </c>
      <c r="H353" s="2" t="inlineStr">
        <is>
          <t>Telecom</t>
        </is>
      </c>
      <c r="I353" s="2" t="inlineStr">
        <is>
          <t>INV-41194</t>
        </is>
      </c>
      <c r="J353" s="2" t="inlineStr">
        <is>
          <t>Recurring</t>
        </is>
      </c>
      <c r="K353" s="2" t="inlineStr">
        <is>
          <t>Processed</t>
        </is>
      </c>
      <c r="M353">
        <f>COUNTIFS($C$3:$C$500,C353,$E$3:$E$500,E353)</f>
        <v/>
      </c>
    </row>
    <row r="354">
      <c r="A354" s="5" t="inlineStr">
        <is>
          <t>TXN0352</t>
        </is>
      </c>
      <c r="B354" s="6" t="n">
        <v>45611</v>
      </c>
      <c r="C354" s="5" t="inlineStr">
        <is>
          <t>Mobilink (Jazz)</t>
        </is>
      </c>
      <c r="D354" s="5" t="inlineStr">
        <is>
          <t>Customer Experience</t>
        </is>
      </c>
      <c r="E354" s="7" t="n">
        <v>32976</v>
      </c>
      <c r="F354" s="5" t="inlineStr">
        <is>
          <t>RTGS</t>
        </is>
      </c>
      <c r="G354" s="5" t="inlineStr">
        <is>
          <t>Usman Tariq (Finance Manager)</t>
        </is>
      </c>
      <c r="H354" s="5" t="inlineStr">
        <is>
          <t>Telecom</t>
        </is>
      </c>
      <c r="I354" s="5" t="inlineStr">
        <is>
          <t>INV-37483</t>
        </is>
      </c>
      <c r="J354" s="5" t="n"/>
      <c r="K354" s="5" t="inlineStr">
        <is>
          <t>Processed</t>
        </is>
      </c>
      <c r="M354">
        <f>COUNTIFS($C$3:$C$500,C354,$E$3:$E$500,E354)</f>
        <v/>
      </c>
    </row>
    <row r="355">
      <c r="A355" s="2" t="inlineStr">
        <is>
          <t>TXN0353</t>
        </is>
      </c>
      <c r="B355" s="3" t="n">
        <v>45407</v>
      </c>
      <c r="C355" s="2" t="inlineStr">
        <is>
          <t>EY Pakistan</t>
        </is>
      </c>
      <c r="D355" s="2" t="inlineStr">
        <is>
          <t>Finance &amp; Accounts</t>
        </is>
      </c>
      <c r="E355" s="4" t="n">
        <v>314149</v>
      </c>
      <c r="F355" s="2" t="inlineStr">
        <is>
          <t>Cheque</t>
        </is>
      </c>
      <c r="G355" s="2" t="inlineStr">
        <is>
          <t>Omer Saleem (CFO)</t>
        </is>
      </c>
      <c r="H355" s="2" t="inlineStr">
        <is>
          <t>Audit &amp; Legal</t>
        </is>
      </c>
      <c r="I355" s="2" t="inlineStr">
        <is>
          <t>INV-65004</t>
        </is>
      </c>
      <c r="J355" s="2" t="n"/>
      <c r="K355" s="2" t="inlineStr">
        <is>
          <t>Processed</t>
        </is>
      </c>
      <c r="M355">
        <f>COUNTIFS($C$3:$C$500,C355,$E$3:$E$500,E355)</f>
        <v/>
      </c>
    </row>
    <row r="356">
      <c r="A356" s="5" t="inlineStr">
        <is>
          <t>TXN0354</t>
        </is>
      </c>
      <c r="B356" s="6" t="n">
        <v>45575</v>
      </c>
      <c r="C356" s="5" t="inlineStr">
        <is>
          <t>Mashaal Movers</t>
        </is>
      </c>
      <c r="D356" s="5" t="inlineStr">
        <is>
          <t>Operations</t>
        </is>
      </c>
      <c r="E356" s="7" t="n">
        <v>40811</v>
      </c>
      <c r="F356" s="5" t="inlineStr">
        <is>
          <t>Cheque</t>
        </is>
      </c>
      <c r="G356" s="5" t="inlineStr">
        <is>
          <t>Usman Tariq (Finance Manager)</t>
        </is>
      </c>
      <c r="H356" s="5" t="inlineStr">
        <is>
          <t>Courier &amp; Logistics</t>
        </is>
      </c>
      <c r="I356" s="5" t="inlineStr">
        <is>
          <t>INV-85766</t>
        </is>
      </c>
      <c r="J356" s="5" t="n"/>
      <c r="K356" s="5" t="inlineStr">
        <is>
          <t>Processed</t>
        </is>
      </c>
      <c r="M356">
        <f>COUNTIFS($C$3:$C$500,C356,$E$3:$E$500,E356)</f>
        <v/>
      </c>
    </row>
    <row r="357">
      <c r="A357" s="2" t="inlineStr">
        <is>
          <t>TXN0355</t>
        </is>
      </c>
      <c r="B357" s="3" t="n">
        <v>45393</v>
      </c>
      <c r="C357" s="2" t="inlineStr">
        <is>
          <t>Leopards Courier</t>
        </is>
      </c>
      <c r="D357" s="2" t="inlineStr">
        <is>
          <t>Technology</t>
        </is>
      </c>
      <c r="E357" s="4" t="n">
        <v>15867</v>
      </c>
      <c r="F357" s="2" t="inlineStr">
        <is>
          <t>RTGS</t>
        </is>
      </c>
      <c r="G357" s="2" t="inlineStr">
        <is>
          <t>Bilal Khan (Head Ops)</t>
        </is>
      </c>
      <c r="H357" s="2" t="inlineStr">
        <is>
          <t>Courier &amp; Logistics</t>
        </is>
      </c>
      <c r="I357" s="2" t="inlineStr">
        <is>
          <t>INV-23726</t>
        </is>
      </c>
      <c r="J357" s="2" t="n"/>
      <c r="K357" s="2" t="inlineStr">
        <is>
          <t>Processed</t>
        </is>
      </c>
      <c r="M357">
        <f>COUNTIFS($C$3:$C$500,C357,$E$3:$E$500,E357)</f>
        <v/>
      </c>
    </row>
    <row r="358">
      <c r="A358" s="5" t="inlineStr">
        <is>
          <t>TXN0356</t>
        </is>
      </c>
      <c r="B358" s="6" t="n">
        <v>45663</v>
      </c>
      <c r="C358" s="5" t="inlineStr">
        <is>
          <t>Mobilink (Jazz)</t>
        </is>
      </c>
      <c r="D358" s="5" t="inlineStr">
        <is>
          <t>Operations</t>
        </is>
      </c>
      <c r="E358" s="7" t="n">
        <v>38165</v>
      </c>
      <c r="F358" s="5" t="inlineStr">
        <is>
          <t>Online Transfer</t>
        </is>
      </c>
      <c r="G358" s="5" t="inlineStr">
        <is>
          <t>Usman Tariq (Finance Manager)</t>
        </is>
      </c>
      <c r="H358" s="5" t="inlineStr">
        <is>
          <t>Telecom</t>
        </is>
      </c>
      <c r="I358" s="5" t="inlineStr">
        <is>
          <t>INV-87860</t>
        </is>
      </c>
      <c r="J358" s="5" t="inlineStr">
        <is>
          <t>One-time</t>
        </is>
      </c>
      <c r="K358" s="5" t="inlineStr">
        <is>
          <t>Processed</t>
        </is>
      </c>
      <c r="M358">
        <f>COUNTIFS($C$3:$C$500,C358,$E$3:$E$500,E358)</f>
        <v/>
      </c>
    </row>
    <row r="359">
      <c r="A359" s="2" t="inlineStr">
        <is>
          <t>TXN0357</t>
        </is>
      </c>
      <c r="B359" s="3" t="n">
        <v>45463</v>
      </c>
      <c r="C359" s="2" t="inlineStr">
        <is>
          <t>DHL Pakistan</t>
        </is>
      </c>
      <c r="D359" s="2" t="inlineStr">
        <is>
          <t>Customer Experience</t>
        </is>
      </c>
      <c r="E359" s="4" t="n">
        <v>26773</v>
      </c>
      <c r="F359" s="2" t="inlineStr">
        <is>
          <t>Bank Transfer</t>
        </is>
      </c>
      <c r="G359" s="2" t="inlineStr">
        <is>
          <t>Usman Tariq (Finance Manager)</t>
        </is>
      </c>
      <c r="H359" s="2" t="inlineStr">
        <is>
          <t>Courier &amp; Logistics</t>
        </is>
      </c>
      <c r="I359" s="2" t="inlineStr">
        <is>
          <t>INV-53397</t>
        </is>
      </c>
      <c r="J359" s="2" t="n"/>
      <c r="K359" s="2" t="inlineStr">
        <is>
          <t>Processed</t>
        </is>
      </c>
      <c r="M359">
        <f>COUNTIFS($C$3:$C$500,C359,$E$3:$E$500,E359)</f>
        <v/>
      </c>
    </row>
    <row r="360">
      <c r="A360" s="5" t="inlineStr">
        <is>
          <t>TXN0358</t>
        </is>
      </c>
      <c r="B360" s="6" t="n">
        <v>45518</v>
      </c>
      <c r="C360" s="5" t="inlineStr">
        <is>
          <t>TCS Couriers</t>
        </is>
      </c>
      <c r="D360" s="5" t="inlineStr">
        <is>
          <t>Risk Management</t>
        </is>
      </c>
      <c r="E360" s="7" t="n">
        <v>54010</v>
      </c>
      <c r="F360" s="5" t="inlineStr">
        <is>
          <t>RTGS</t>
        </is>
      </c>
      <c r="G360" s="5" t="inlineStr">
        <is>
          <t>Zara Malik (CFO Office)</t>
        </is>
      </c>
      <c r="H360" s="5" t="inlineStr">
        <is>
          <t>Courier &amp; Logistics</t>
        </is>
      </c>
      <c r="I360" s="5" t="inlineStr">
        <is>
          <t>INV-41135</t>
        </is>
      </c>
      <c r="J360" s="5" t="n"/>
      <c r="K360" s="5" t="inlineStr">
        <is>
          <t>Processed</t>
        </is>
      </c>
      <c r="M360">
        <f>COUNTIFS($C$3:$C$500,C360,$E$3:$E$500,E360)</f>
        <v/>
      </c>
    </row>
    <row r="361">
      <c r="A361" s="2" t="inlineStr">
        <is>
          <t>TXN0359</t>
        </is>
      </c>
      <c r="B361" s="3" t="n">
        <v>45461</v>
      </c>
      <c r="C361" s="2" t="inlineStr">
        <is>
          <t>Haidermota &amp; Co</t>
        </is>
      </c>
      <c r="D361" s="2" t="inlineStr">
        <is>
          <t>Marketing</t>
        </is>
      </c>
      <c r="E361" s="4" t="n">
        <v>447071</v>
      </c>
      <c r="F361" s="2" t="inlineStr">
        <is>
          <t>Online Transfer</t>
        </is>
      </c>
      <c r="G361" s="2" t="inlineStr">
        <is>
          <t>Omer Saleem (CFO)</t>
        </is>
      </c>
      <c r="H361" s="2" t="inlineStr">
        <is>
          <t>Legal Services</t>
        </is>
      </c>
      <c r="I361" s="2" t="inlineStr">
        <is>
          <t>INV-10500</t>
        </is>
      </c>
      <c r="J361" s="2" t="inlineStr">
        <is>
          <t>Pre-approved</t>
        </is>
      </c>
      <c r="K361" s="2" t="inlineStr">
        <is>
          <t>Processed</t>
        </is>
      </c>
      <c r="M361">
        <f>COUNTIFS($C$3:$C$500,C361,$E$3:$E$500,E361)</f>
        <v/>
      </c>
    </row>
    <row r="362">
      <c r="A362" s="5" t="inlineStr">
        <is>
          <t>TXN0360</t>
        </is>
      </c>
      <c r="B362" s="6" t="n">
        <v>45485</v>
      </c>
      <c r="C362" s="5" t="inlineStr">
        <is>
          <t>Meezan Bank Ltd</t>
        </is>
      </c>
      <c r="D362" s="5" t="inlineStr">
        <is>
          <t>Customer Experience</t>
        </is>
      </c>
      <c r="E362" s="7" t="n">
        <v>115647</v>
      </c>
      <c r="F362" s="5" t="inlineStr">
        <is>
          <t>Bank Transfer</t>
        </is>
      </c>
      <c r="G362" s="5" t="inlineStr">
        <is>
          <t>Sara Ahmed (VP Finance)</t>
        </is>
      </c>
      <c r="H362" s="5" t="inlineStr">
        <is>
          <t>Banking Services</t>
        </is>
      </c>
      <c r="I362" s="5" t="inlineStr">
        <is>
          <t>INV-37125</t>
        </is>
      </c>
      <c r="J362" s="5" t="n"/>
      <c r="K362" s="5" t="inlineStr">
        <is>
          <t>Processed</t>
        </is>
      </c>
      <c r="M362">
        <f>COUNTIFS($C$3:$C$500,C362,$E$3:$E$500,E362)</f>
        <v/>
      </c>
    </row>
    <row r="363">
      <c r="A363" s="2" t="inlineStr">
        <is>
          <t>TXN0361</t>
        </is>
      </c>
      <c r="B363" s="3" t="n">
        <v>45586</v>
      </c>
      <c r="C363" s="2" t="inlineStr">
        <is>
          <t>Oracle Pakistan Pvt Ltd</t>
        </is>
      </c>
      <c r="D363" s="2" t="inlineStr">
        <is>
          <t>HR &amp; Admin</t>
        </is>
      </c>
      <c r="E363" s="4" t="n">
        <v>277018</v>
      </c>
      <c r="F363" s="2" t="inlineStr">
        <is>
          <t>Cheque</t>
        </is>
      </c>
      <c r="G363" s="2" t="inlineStr">
        <is>
          <t>Omer Saleem (CFO)</t>
        </is>
      </c>
      <c r="H363" s="2" t="inlineStr">
        <is>
          <t>Software License</t>
        </is>
      </c>
      <c r="I363" s="2" t="inlineStr">
        <is>
          <t>INV-96643</t>
        </is>
      </c>
      <c r="J363" s="2" t="n"/>
      <c r="K363" s="2" t="inlineStr">
        <is>
          <t>Processed</t>
        </is>
      </c>
      <c r="M363">
        <f>COUNTIFS($C$3:$C$500,C363,$E$3:$E$500,E363)</f>
        <v/>
      </c>
    </row>
    <row r="364">
      <c r="A364" s="5" t="inlineStr">
        <is>
          <t>TXN0362</t>
        </is>
      </c>
      <c r="B364" s="6" t="n">
        <v>45572</v>
      </c>
      <c r="C364" s="5" t="inlineStr">
        <is>
          <t>Punjab Beverages</t>
        </is>
      </c>
      <c r="D364" s="5" t="inlineStr">
        <is>
          <t>Compliance</t>
        </is>
      </c>
      <c r="E364" s="7" t="n">
        <v>41272</v>
      </c>
      <c r="F364" s="5" t="inlineStr">
        <is>
          <t>Online Transfer</t>
        </is>
      </c>
      <c r="G364" s="5" t="inlineStr">
        <is>
          <t>Bilal Khan (Head Ops)</t>
        </is>
      </c>
      <c r="H364" s="5" t="inlineStr">
        <is>
          <t>Office Supplies</t>
        </is>
      </c>
      <c r="I364" s="5" t="inlineStr">
        <is>
          <t>INV-34455</t>
        </is>
      </c>
      <c r="J364" s="5" t="inlineStr">
        <is>
          <t>One-time</t>
        </is>
      </c>
      <c r="K364" s="5" t="inlineStr">
        <is>
          <t>Processed</t>
        </is>
      </c>
      <c r="M364">
        <f>COUNTIFS($C$3:$C$500,C364,$E$3:$E$500,E364)</f>
        <v/>
      </c>
    </row>
    <row r="365">
      <c r="A365" s="2" t="inlineStr">
        <is>
          <t>TXN0363</t>
        </is>
      </c>
      <c r="B365" s="3" t="n">
        <v>45498</v>
      </c>
      <c r="C365" s="2" t="inlineStr">
        <is>
          <t>MCB Bank Ltd</t>
        </is>
      </c>
      <c r="D365" s="2" t="inlineStr">
        <is>
          <t>HR &amp; Admin</t>
        </is>
      </c>
      <c r="E365" s="4" t="n">
        <v>91118</v>
      </c>
      <c r="F365" s="2" t="inlineStr">
        <is>
          <t>Bank Transfer</t>
        </is>
      </c>
      <c r="G365" s="2" t="inlineStr">
        <is>
          <t>Zara Malik (CFO Office)</t>
        </is>
      </c>
      <c r="H365" s="2" t="inlineStr">
        <is>
          <t>Banking Services</t>
        </is>
      </c>
      <c r="I365" s="2" t="inlineStr">
        <is>
          <t>INV-29808</t>
        </is>
      </c>
      <c r="J365" s="2" t="n"/>
      <c r="K365" s="2" t="inlineStr">
        <is>
          <t>Processed</t>
        </is>
      </c>
      <c r="M365">
        <f>COUNTIFS($C$3:$C$500,C365,$E$3:$E$500,E365)</f>
        <v/>
      </c>
    </row>
    <row r="366">
      <c r="A366" s="5" t="inlineStr">
        <is>
          <t>TXN0364</t>
        </is>
      </c>
      <c r="B366" s="6" t="n">
        <v>45594</v>
      </c>
      <c r="C366" s="5" t="inlineStr">
        <is>
          <t>Nestle Pakistan</t>
        </is>
      </c>
      <c r="D366" s="5" t="inlineStr">
        <is>
          <t>Operations</t>
        </is>
      </c>
      <c r="E366" s="7" t="n">
        <v>74682</v>
      </c>
      <c r="F366" s="5" t="inlineStr">
        <is>
          <t>Bank Transfer</t>
        </is>
      </c>
      <c r="G366" s="5" t="inlineStr">
        <is>
          <t>Sara Ahmed (VP Finance)</t>
        </is>
      </c>
      <c r="H366" s="5" t="inlineStr">
        <is>
          <t>Office Supplies</t>
        </is>
      </c>
      <c r="I366" s="5" t="inlineStr">
        <is>
          <t>INV-60738</t>
        </is>
      </c>
      <c r="J366" s="5" t="inlineStr">
        <is>
          <t>Urgent</t>
        </is>
      </c>
      <c r="K366" s="5" t="inlineStr">
        <is>
          <t>Processed</t>
        </is>
      </c>
      <c r="M366">
        <f>COUNTIFS($C$3:$C$500,C366,$E$3:$E$500,E366)</f>
        <v/>
      </c>
    </row>
    <row r="367">
      <c r="A367" s="2" t="inlineStr">
        <is>
          <t>TXN0365</t>
        </is>
      </c>
      <c r="B367" s="3" t="n">
        <v>45400</v>
      </c>
      <c r="C367" s="2" t="inlineStr">
        <is>
          <t>Serena Hotel Lahore</t>
        </is>
      </c>
      <c r="D367" s="2" t="inlineStr">
        <is>
          <t>Customer Experience</t>
        </is>
      </c>
      <c r="E367" s="4" t="n">
        <v>164179</v>
      </c>
      <c r="F367" s="2" t="inlineStr">
        <is>
          <t>Bank Transfer</t>
        </is>
      </c>
      <c r="G367" s="2" t="inlineStr">
        <is>
          <t>Sara Ahmed (VP Finance)</t>
        </is>
      </c>
      <c r="H367" s="2" t="inlineStr">
        <is>
          <t>Travel &amp; Accommodation</t>
        </is>
      </c>
      <c r="I367" s="2" t="inlineStr">
        <is>
          <t>INV-68856</t>
        </is>
      </c>
      <c r="J367" s="2" t="n"/>
      <c r="K367" s="2" t="inlineStr">
        <is>
          <t>Processed</t>
        </is>
      </c>
      <c r="M367">
        <f>COUNTIFS($C$3:$C$500,C367,$E$3:$E$500,E367)</f>
        <v/>
      </c>
    </row>
    <row r="368">
      <c r="A368" s="5" t="inlineStr">
        <is>
          <t>TXN0366</t>
        </is>
      </c>
      <c r="B368" s="6" t="n">
        <v>45687</v>
      </c>
      <c r="C368" s="5" t="inlineStr">
        <is>
          <t>Zong Business</t>
        </is>
      </c>
      <c r="D368" s="5" t="inlineStr">
        <is>
          <t>Finance &amp; Accounts</t>
        </is>
      </c>
      <c r="E368" s="7" t="n">
        <v>33085</v>
      </c>
      <c r="F368" s="5" t="inlineStr">
        <is>
          <t>Online Transfer</t>
        </is>
      </c>
      <c r="G368" s="5" t="inlineStr">
        <is>
          <t>Bilal Khan (Head Ops)</t>
        </is>
      </c>
      <c r="H368" s="5" t="inlineStr">
        <is>
          <t>Telecom</t>
        </is>
      </c>
      <c r="I368" s="5" t="inlineStr">
        <is>
          <t>INV-18783</t>
        </is>
      </c>
      <c r="J368" s="5" t="n"/>
      <c r="K368" s="5" t="inlineStr">
        <is>
          <t>Processed</t>
        </is>
      </c>
      <c r="M368">
        <f>COUNTIFS($C$3:$C$500,C368,$E$3:$E$500,E368)</f>
        <v/>
      </c>
    </row>
    <row r="369">
      <c r="A369" s="2" t="inlineStr">
        <is>
          <t>TXN0367</t>
        </is>
      </c>
      <c r="B369" s="3" t="n">
        <v>45524</v>
      </c>
      <c r="C369" s="2" t="inlineStr">
        <is>
          <t>Avari Towers</t>
        </is>
      </c>
      <c r="D369" s="2" t="inlineStr">
        <is>
          <t>Operations</t>
        </is>
      </c>
      <c r="E369" s="4" t="n">
        <v>185907</v>
      </c>
      <c r="F369" s="2" t="inlineStr">
        <is>
          <t>Bank Transfer</t>
        </is>
      </c>
      <c r="G369" s="2" t="inlineStr">
        <is>
          <t>Zara Malik (CFO Office)</t>
        </is>
      </c>
      <c r="H369" s="2" t="inlineStr">
        <is>
          <t>Travel &amp; Accommodation</t>
        </is>
      </c>
      <c r="I369" s="2" t="inlineStr">
        <is>
          <t>INV-91665</t>
        </is>
      </c>
      <c r="J369" s="2" t="inlineStr">
        <is>
          <t>Urgent</t>
        </is>
      </c>
      <c r="K369" s="2" t="inlineStr">
        <is>
          <t>Processed</t>
        </is>
      </c>
      <c r="M369">
        <f>COUNTIFS($C$3:$C$500,C369,$E$3:$E$500,E369)</f>
        <v/>
      </c>
    </row>
    <row r="370">
      <c r="A370" s="5" t="inlineStr">
        <is>
          <t>TXN0368</t>
        </is>
      </c>
      <c r="B370" s="6" t="n">
        <v>45673</v>
      </c>
      <c r="C370" s="5" t="inlineStr">
        <is>
          <t>Cisco Systems Pakistan</t>
        </is>
      </c>
      <c r="D370" s="5" t="inlineStr">
        <is>
          <t>Operations</t>
        </is>
      </c>
      <c r="E370" s="7" t="n">
        <v>240186</v>
      </c>
      <c r="F370" s="5" t="inlineStr">
        <is>
          <t>Bank Transfer</t>
        </is>
      </c>
      <c r="G370" s="5" t="inlineStr">
        <is>
          <t>Omer Saleem (CFO)</t>
        </is>
      </c>
      <c r="H370" s="5" t="inlineStr">
        <is>
          <t>Hardware</t>
        </is>
      </c>
      <c r="I370" s="5" t="inlineStr">
        <is>
          <t>INV-83752</t>
        </is>
      </c>
      <c r="J370" s="5" t="n"/>
      <c r="K370" s="5" t="inlineStr">
        <is>
          <t>Processed</t>
        </is>
      </c>
      <c r="M370">
        <f>COUNTIFS($C$3:$C$500,C370,$E$3:$E$500,E370)</f>
        <v/>
      </c>
    </row>
    <row r="371">
      <c r="A371" s="2" t="inlineStr">
        <is>
          <t>TXN0369</t>
        </is>
      </c>
      <c r="B371" s="3" t="n">
        <v>45579</v>
      </c>
      <c r="C371" s="2" t="inlineStr">
        <is>
          <t>Serena Hotel Lahore</t>
        </is>
      </c>
      <c r="D371" s="2" t="inlineStr">
        <is>
          <t>Operations</t>
        </is>
      </c>
      <c r="E371" s="4" t="n">
        <v>147886</v>
      </c>
      <c r="F371" s="2" t="inlineStr">
        <is>
          <t>Cheque</t>
        </is>
      </c>
      <c r="G371" s="2" t="inlineStr">
        <is>
          <t>Zara Malik (CFO Office)</t>
        </is>
      </c>
      <c r="H371" s="2" t="inlineStr">
        <is>
          <t>Travel &amp; Accommodation</t>
        </is>
      </c>
      <c r="I371" s="2" t="inlineStr">
        <is>
          <t>INV-14910</t>
        </is>
      </c>
      <c r="J371" s="2" t="n"/>
      <c r="K371" s="2" t="inlineStr">
        <is>
          <t>Processed</t>
        </is>
      </c>
      <c r="M371">
        <f>COUNTIFS($C$3:$C$500,C371,$E$3:$E$500,E371)</f>
        <v/>
      </c>
    </row>
    <row r="372">
      <c r="A372" s="5" t="inlineStr">
        <is>
          <t>TXN0370</t>
        </is>
      </c>
      <c r="B372" s="6" t="n">
        <v>45552</v>
      </c>
      <c r="C372" s="5" t="inlineStr">
        <is>
          <t>Haidermota &amp; Co</t>
        </is>
      </c>
      <c r="D372" s="5" t="inlineStr">
        <is>
          <t>Technology</t>
        </is>
      </c>
      <c r="E372" s="7" t="n">
        <v>481566</v>
      </c>
      <c r="F372" s="5" t="inlineStr">
        <is>
          <t>Bank Transfer</t>
        </is>
      </c>
      <c r="G372" s="5" t="inlineStr">
        <is>
          <t>Omer Saleem (CFO)</t>
        </is>
      </c>
      <c r="H372" s="5" t="inlineStr">
        <is>
          <t>Legal Services</t>
        </is>
      </c>
      <c r="I372" s="5" t="inlineStr">
        <is>
          <t>INV-72287</t>
        </is>
      </c>
      <c r="J372" s="5" t="n"/>
      <c r="K372" s="5" t="inlineStr">
        <is>
          <t>Processed</t>
        </is>
      </c>
      <c r="M372">
        <f>COUNTIFS($C$3:$C$500,C372,$E$3:$E$500,E372)</f>
        <v/>
      </c>
    </row>
    <row r="373">
      <c r="A373" s="2" t="inlineStr">
        <is>
          <t>TXN0371</t>
        </is>
      </c>
      <c r="B373" s="3" t="n">
        <v>45526</v>
      </c>
      <c r="C373" s="2" t="inlineStr">
        <is>
          <t>NetSol Technologies</t>
        </is>
      </c>
      <c r="D373" s="2" t="inlineStr">
        <is>
          <t>Operations</t>
        </is>
      </c>
      <c r="E373" s="4" t="n">
        <v>473717</v>
      </c>
      <c r="F373" s="2" t="inlineStr">
        <is>
          <t>Bank Transfer</t>
        </is>
      </c>
      <c r="G373" s="2" t="inlineStr">
        <is>
          <t>Omer Saleem (CFO)</t>
        </is>
      </c>
      <c r="H373" s="2" t="inlineStr">
        <is>
          <t>Software License</t>
        </is>
      </c>
      <c r="I373" s="2" t="inlineStr">
        <is>
          <t>INV-39878</t>
        </is>
      </c>
      <c r="J373" s="2" t="n"/>
      <c r="K373" s="2" t="inlineStr">
        <is>
          <t>Processed</t>
        </is>
      </c>
      <c r="M373">
        <f>COUNTIFS($C$3:$C$500,C373,$E$3:$E$500,E373)</f>
        <v/>
      </c>
    </row>
    <row r="374">
      <c r="A374" s="5" t="inlineStr">
        <is>
          <t>TXN0372</t>
        </is>
      </c>
      <c r="B374" s="6" t="n">
        <v>45692</v>
      </c>
      <c r="C374" s="5" t="inlineStr">
        <is>
          <t>Leopards Courier</t>
        </is>
      </c>
      <c r="D374" s="5" t="inlineStr">
        <is>
          <t>Operations</t>
        </is>
      </c>
      <c r="E374" s="7" t="n">
        <v>33331</v>
      </c>
      <c r="F374" s="5" t="inlineStr">
        <is>
          <t>RTGS</t>
        </is>
      </c>
      <c r="G374" s="5" t="inlineStr">
        <is>
          <t>Usman Tariq (Finance Manager)</t>
        </is>
      </c>
      <c r="H374" s="5" t="inlineStr">
        <is>
          <t>Courier &amp; Logistics</t>
        </is>
      </c>
      <c r="I374" s="5" t="inlineStr">
        <is>
          <t>INV-67896</t>
        </is>
      </c>
      <c r="J374" s="5" t="n"/>
      <c r="K374" s="5" t="inlineStr">
        <is>
          <t>Processed</t>
        </is>
      </c>
      <c r="M374">
        <f>COUNTIFS($C$3:$C$500,C374,$E$3:$E$500,E374)</f>
        <v/>
      </c>
    </row>
    <row r="375">
      <c r="A375" s="2" t="inlineStr">
        <is>
          <t>TXN0373</t>
        </is>
      </c>
      <c r="B375" s="3" t="n">
        <v>45646</v>
      </c>
      <c r="C375" s="2" t="inlineStr">
        <is>
          <t>Mashaal Movers</t>
        </is>
      </c>
      <c r="D375" s="2" t="inlineStr">
        <is>
          <t>Compliance</t>
        </is>
      </c>
      <c r="E375" s="4" t="n">
        <v>34271</v>
      </c>
      <c r="F375" s="2" t="inlineStr">
        <is>
          <t>Bank Transfer</t>
        </is>
      </c>
      <c r="G375" s="2" t="inlineStr">
        <is>
          <t>Usman Tariq (Finance Manager)</t>
        </is>
      </c>
      <c r="H375" s="2" t="inlineStr">
        <is>
          <t>Courier &amp; Logistics</t>
        </is>
      </c>
      <c r="I375" s="2" t="inlineStr">
        <is>
          <t>INV-50779</t>
        </is>
      </c>
      <c r="J375" s="2" t="inlineStr">
        <is>
          <t>Urgent</t>
        </is>
      </c>
      <c r="K375" s="2" t="inlineStr">
        <is>
          <t>Processed</t>
        </is>
      </c>
      <c r="M375">
        <f>COUNTIFS($C$3:$C$500,C375,$E$3:$E$500,E375)</f>
        <v/>
      </c>
    </row>
    <row r="376">
      <c r="A376" s="5" t="inlineStr">
        <is>
          <t>TXN0374</t>
        </is>
      </c>
      <c r="B376" s="6" t="n">
        <v>45471</v>
      </c>
      <c r="C376" s="5" t="inlineStr">
        <is>
          <t>Teradata Pakistan</t>
        </is>
      </c>
      <c r="D376" s="5" t="inlineStr">
        <is>
          <t>Compliance</t>
        </is>
      </c>
      <c r="E376" s="7" t="n">
        <v>717617</v>
      </c>
      <c r="F376" s="5" t="inlineStr">
        <is>
          <t>RTGS</t>
        </is>
      </c>
      <c r="G376" s="5" t="inlineStr">
        <is>
          <t>Omer Saleem (CFO)</t>
        </is>
      </c>
      <c r="H376" s="5" t="inlineStr">
        <is>
          <t>IT Services</t>
        </is>
      </c>
      <c r="I376" s="5" t="inlineStr">
        <is>
          <t>INV-17553</t>
        </is>
      </c>
      <c r="J376" s="5" t="n"/>
      <c r="K376" s="5" t="inlineStr">
        <is>
          <t>Processed</t>
        </is>
      </c>
      <c r="M376">
        <f>COUNTIFS($C$3:$C$500,C376,$E$3:$E$500,E376)</f>
        <v/>
      </c>
    </row>
    <row r="377">
      <c r="A377" s="2" t="inlineStr">
        <is>
          <t>TXN0375</t>
        </is>
      </c>
      <c r="B377" s="3" t="n">
        <v>45523</v>
      </c>
      <c r="C377" s="2" t="inlineStr">
        <is>
          <t>FedEx Pakistan</t>
        </is>
      </c>
      <c r="D377" s="2" t="inlineStr">
        <is>
          <t>Technology</t>
        </is>
      </c>
      <c r="E377" s="4" t="n">
        <v>35726</v>
      </c>
      <c r="F377" s="2" t="inlineStr">
        <is>
          <t>Cheque</t>
        </is>
      </c>
      <c r="G377" s="2" t="inlineStr">
        <is>
          <t>Bilal Khan (Head Ops)</t>
        </is>
      </c>
      <c r="H377" s="2" t="inlineStr">
        <is>
          <t>Courier &amp; Logistics</t>
        </is>
      </c>
      <c r="I377" s="2" t="inlineStr">
        <is>
          <t>INV-76207</t>
        </is>
      </c>
      <c r="J377" s="2" t="inlineStr">
        <is>
          <t>Pre-approved</t>
        </is>
      </c>
      <c r="K377" s="2" t="inlineStr">
        <is>
          <t>Processed</t>
        </is>
      </c>
      <c r="M377">
        <f>COUNTIFS($C$3:$C$500,C377,$E$3:$E$500,E377)</f>
        <v/>
      </c>
    </row>
    <row r="378">
      <c r="A378" s="5" t="inlineStr">
        <is>
          <t>TXN0376</t>
        </is>
      </c>
      <c r="B378" s="6" t="n">
        <v>45687</v>
      </c>
      <c r="C378" s="5" t="inlineStr">
        <is>
          <t>NetSol Technologies</t>
        </is>
      </c>
      <c r="D378" s="5" t="inlineStr">
        <is>
          <t>Finance &amp; Accounts</t>
        </is>
      </c>
      <c r="E378" s="7" t="n">
        <v>549414</v>
      </c>
      <c r="F378" s="5" t="inlineStr">
        <is>
          <t>Bank Transfer</t>
        </is>
      </c>
      <c r="G378" s="5" t="inlineStr">
        <is>
          <t>Omer Saleem (CFO)</t>
        </is>
      </c>
      <c r="H378" s="5" t="inlineStr">
        <is>
          <t>Software License</t>
        </is>
      </c>
      <c r="I378" s="5" t="inlineStr">
        <is>
          <t>INV-72204</t>
        </is>
      </c>
      <c r="J378" s="5" t="inlineStr">
        <is>
          <t>Urgent</t>
        </is>
      </c>
      <c r="K378" s="5" t="inlineStr">
        <is>
          <t>Processed</t>
        </is>
      </c>
      <c r="M378">
        <f>COUNTIFS($C$3:$C$500,C378,$E$3:$E$500,E378)</f>
        <v/>
      </c>
    </row>
    <row r="379">
      <c r="A379" s="2" t="inlineStr">
        <is>
          <t>TXN0377</t>
        </is>
      </c>
      <c r="B379" s="3" t="n">
        <v>45397</v>
      </c>
      <c r="C379" s="2" t="inlineStr">
        <is>
          <t>EY Pakistan</t>
        </is>
      </c>
      <c r="D379" s="2" t="inlineStr">
        <is>
          <t>Technology</t>
        </is>
      </c>
      <c r="E379" s="4" t="n">
        <v>473551</v>
      </c>
      <c r="F379" s="2" t="inlineStr">
        <is>
          <t>Bank Transfer</t>
        </is>
      </c>
      <c r="G379" s="2" t="inlineStr">
        <is>
          <t>Omer Saleem (CFO)</t>
        </is>
      </c>
      <c r="H379" s="2" t="inlineStr">
        <is>
          <t>Audit &amp; Legal</t>
        </is>
      </c>
      <c r="I379" s="2" t="inlineStr">
        <is>
          <t>INV-31352</t>
        </is>
      </c>
      <c r="J379" s="2" t="n"/>
      <c r="K379" s="2" t="inlineStr">
        <is>
          <t>Processed</t>
        </is>
      </c>
      <c r="M379">
        <f>COUNTIFS($C$3:$C$500,C379,$E$3:$E$500,E379)</f>
        <v/>
      </c>
    </row>
    <row r="380">
      <c r="A380" s="5" t="inlineStr">
        <is>
          <t>TXN0378</t>
        </is>
      </c>
      <c r="B380" s="6" t="n">
        <v>45520</v>
      </c>
      <c r="C380" s="5" t="inlineStr">
        <is>
          <t>Punjab Beverages</t>
        </is>
      </c>
      <c r="D380" s="5" t="inlineStr">
        <is>
          <t>Finance &amp; Accounts</t>
        </is>
      </c>
      <c r="E380" s="7" t="n">
        <v>60647</v>
      </c>
      <c r="F380" s="5" t="inlineStr">
        <is>
          <t>Bank Transfer</t>
        </is>
      </c>
      <c r="G380" s="5" t="inlineStr">
        <is>
          <t>Zara Malik (CFO Office)</t>
        </is>
      </c>
      <c r="H380" s="5" t="inlineStr">
        <is>
          <t>Office Supplies</t>
        </is>
      </c>
      <c r="I380" s="5" t="inlineStr">
        <is>
          <t>INV-99417</t>
        </is>
      </c>
      <c r="J380" s="5" t="n"/>
      <c r="K380" s="5" t="inlineStr">
        <is>
          <t>Processed</t>
        </is>
      </c>
      <c r="M380">
        <f>COUNTIFS($C$3:$C$500,C380,$E$3:$E$500,E380)</f>
        <v/>
      </c>
    </row>
    <row r="381">
      <c r="A381" s="2" t="inlineStr">
        <is>
          <t>TXN0379</t>
        </is>
      </c>
      <c r="B381" s="3" t="n">
        <v>45497</v>
      </c>
      <c r="C381" s="2" t="inlineStr">
        <is>
          <t>Teradata Pakistan</t>
        </is>
      </c>
      <c r="D381" s="2" t="inlineStr">
        <is>
          <t>Customer Experience</t>
        </is>
      </c>
      <c r="E381" s="4" t="n">
        <v>302599</v>
      </c>
      <c r="F381" s="2" t="inlineStr">
        <is>
          <t>RTGS</t>
        </is>
      </c>
      <c r="G381" s="2" t="inlineStr">
        <is>
          <t>Omer Saleem (CFO)</t>
        </is>
      </c>
      <c r="H381" s="2" t="inlineStr">
        <is>
          <t>IT Services</t>
        </is>
      </c>
      <c r="I381" s="2" t="inlineStr">
        <is>
          <t>INV-94245</t>
        </is>
      </c>
      <c r="J381" s="2" t="n"/>
      <c r="K381" s="2" t="inlineStr">
        <is>
          <t>Processed</t>
        </is>
      </c>
      <c r="M381">
        <f>COUNTIFS($C$3:$C$500,C381,$E$3:$E$500,E381)</f>
        <v/>
      </c>
    </row>
    <row r="382">
      <c r="A382" s="5" t="inlineStr">
        <is>
          <t>TXN0380</t>
        </is>
      </c>
      <c r="B382" s="6" t="n">
        <v>45621</v>
      </c>
      <c r="C382" s="5" t="inlineStr">
        <is>
          <t>Axis Law Chambers</t>
        </is>
      </c>
      <c r="D382" s="5" t="inlineStr">
        <is>
          <t>Operations</t>
        </is>
      </c>
      <c r="E382" s="7" t="n">
        <v>395622</v>
      </c>
      <c r="F382" s="5" t="inlineStr">
        <is>
          <t>Online Transfer</t>
        </is>
      </c>
      <c r="G382" s="5" t="inlineStr">
        <is>
          <t>Omer Saleem (CFO)</t>
        </is>
      </c>
      <c r="H382" s="5" t="inlineStr">
        <is>
          <t>Legal Services</t>
        </is>
      </c>
      <c r="I382" s="5" t="inlineStr">
        <is>
          <t>INV-86609</t>
        </is>
      </c>
      <c r="J382" s="5" t="n"/>
      <c r="K382" s="5" t="inlineStr">
        <is>
          <t>Processed</t>
        </is>
      </c>
      <c r="M382">
        <f>COUNTIFS($C$3:$C$500,C382,$E$3:$E$500,E382)</f>
        <v/>
      </c>
    </row>
    <row r="383">
      <c r="A383" s="2" t="inlineStr">
        <is>
          <t>TXN0381</t>
        </is>
      </c>
      <c r="B383" s="3" t="n">
        <v>45733</v>
      </c>
      <c r="C383" s="2" t="inlineStr">
        <is>
          <t>Pearl Continental Karachi</t>
        </is>
      </c>
      <c r="D383" s="2" t="inlineStr">
        <is>
          <t>Customer Experience</t>
        </is>
      </c>
      <c r="E383" s="4" t="n">
        <v>138580</v>
      </c>
      <c r="F383" s="2" t="inlineStr">
        <is>
          <t>Cheque</t>
        </is>
      </c>
      <c r="G383" s="2" t="inlineStr">
        <is>
          <t>Sara Ahmed (VP Finance)</t>
        </is>
      </c>
      <c r="H383" s="2" t="inlineStr">
        <is>
          <t>Travel &amp; Accommodation</t>
        </is>
      </c>
      <c r="I383" s="2" t="inlineStr">
        <is>
          <t>INV-18367</t>
        </is>
      </c>
      <c r="J383" s="2" t="inlineStr">
        <is>
          <t>Recurring</t>
        </is>
      </c>
      <c r="K383" s="2" t="inlineStr">
        <is>
          <t>Processed</t>
        </is>
      </c>
      <c r="M383">
        <f>COUNTIFS($C$3:$C$500,C383,$E$3:$E$500,E383)</f>
        <v/>
      </c>
    </row>
    <row r="384">
      <c r="A384" s="5" t="inlineStr">
        <is>
          <t>TXN0382</t>
        </is>
      </c>
      <c r="B384" s="6" t="n">
        <v>45747</v>
      </c>
      <c r="C384" s="5" t="inlineStr">
        <is>
          <t>Singer Pakistan</t>
        </is>
      </c>
      <c r="D384" s="5" t="inlineStr">
        <is>
          <t>Operations</t>
        </is>
      </c>
      <c r="E384" s="7" t="n">
        <v>35270</v>
      </c>
      <c r="F384" s="5" t="inlineStr">
        <is>
          <t>RTGS</t>
        </is>
      </c>
      <c r="G384" s="5" t="inlineStr">
        <is>
          <t>Bilal Khan (Head Ops)</t>
        </is>
      </c>
      <c r="H384" s="5" t="inlineStr">
        <is>
          <t>Office Supplies</t>
        </is>
      </c>
      <c r="I384" s="5" t="inlineStr">
        <is>
          <t>INV-29651</t>
        </is>
      </c>
      <c r="J384" s="5" t="inlineStr">
        <is>
          <t>Urgent</t>
        </is>
      </c>
      <c r="K384" s="5" t="inlineStr">
        <is>
          <t>Processed</t>
        </is>
      </c>
      <c r="M384">
        <f>COUNTIFS($C$3:$C$500,C384,$E$3:$E$500,E384)</f>
        <v/>
      </c>
    </row>
    <row r="385">
      <c r="A385" s="2" t="inlineStr">
        <is>
          <t>TXN0383</t>
        </is>
      </c>
      <c r="B385" s="3" t="n">
        <v>45454</v>
      </c>
      <c r="C385" s="2" t="inlineStr">
        <is>
          <t>Inbox Business Technologies</t>
        </is>
      </c>
      <c r="D385" s="2" t="inlineStr">
        <is>
          <t>Marketing</t>
        </is>
      </c>
      <c r="E385" s="4" t="n">
        <v>549810</v>
      </c>
      <c r="F385" s="2" t="inlineStr">
        <is>
          <t>Cheque</t>
        </is>
      </c>
      <c r="G385" s="2" t="inlineStr">
        <is>
          <t>Omer Saleem (CFO)</t>
        </is>
      </c>
      <c r="H385" s="2" t="inlineStr">
        <is>
          <t>IT Services</t>
        </is>
      </c>
      <c r="I385" s="2" t="inlineStr">
        <is>
          <t>INV-48745</t>
        </is>
      </c>
      <c r="J385" s="2" t="n"/>
      <c r="K385" s="2" t="inlineStr">
        <is>
          <t>Processed</t>
        </is>
      </c>
      <c r="M385">
        <f>COUNTIFS($C$3:$C$500,C385,$E$3:$E$500,E385)</f>
        <v/>
      </c>
    </row>
    <row r="386">
      <c r="A386" s="5" t="inlineStr">
        <is>
          <t>TXN0384</t>
        </is>
      </c>
      <c r="B386" s="6" t="n">
        <v>45558</v>
      </c>
      <c r="C386" s="5" t="inlineStr">
        <is>
          <t>Haidermota &amp; Co</t>
        </is>
      </c>
      <c r="D386" s="5" t="inlineStr">
        <is>
          <t>Operations</t>
        </is>
      </c>
      <c r="E386" s="7" t="n">
        <v>172475</v>
      </c>
      <c r="F386" s="5" t="inlineStr">
        <is>
          <t>Cheque</t>
        </is>
      </c>
      <c r="G386" s="5" t="inlineStr">
        <is>
          <t>Sara Ahmed (VP Finance)</t>
        </is>
      </c>
      <c r="H386" s="5" t="inlineStr">
        <is>
          <t>Legal Services</t>
        </is>
      </c>
      <c r="I386" s="5" t="inlineStr">
        <is>
          <t>INV-98063</t>
        </is>
      </c>
      <c r="J386" s="5" t="inlineStr">
        <is>
          <t>Recurring</t>
        </is>
      </c>
      <c r="K386" s="5" t="inlineStr">
        <is>
          <t>Pending</t>
        </is>
      </c>
      <c r="M386">
        <f>COUNTIFS($C$3:$C$500,C386,$E$3:$E$500,E386)</f>
        <v/>
      </c>
    </row>
    <row r="387">
      <c r="A387" s="2" t="inlineStr">
        <is>
          <t>TXN0385</t>
        </is>
      </c>
      <c r="B387" s="3" t="n">
        <v>45533</v>
      </c>
      <c r="C387" s="2" t="inlineStr">
        <is>
          <t>UBL Corporate</t>
        </is>
      </c>
      <c r="D387" s="2" t="inlineStr">
        <is>
          <t>Technology</t>
        </is>
      </c>
      <c r="E387" s="4" t="n">
        <v>115008</v>
      </c>
      <c r="F387" s="2" t="inlineStr">
        <is>
          <t>Cheque</t>
        </is>
      </c>
      <c r="G387" s="2" t="inlineStr">
        <is>
          <t>Sara Ahmed (VP Finance)</t>
        </is>
      </c>
      <c r="H387" s="2" t="inlineStr">
        <is>
          <t>Banking Services</t>
        </is>
      </c>
      <c r="I387" s="2" t="inlineStr">
        <is>
          <t>INV-26769</t>
        </is>
      </c>
      <c r="J387" s="2" t="n"/>
      <c r="K387" s="2" t="inlineStr">
        <is>
          <t>Pending</t>
        </is>
      </c>
      <c r="M387">
        <f>COUNTIFS($C$3:$C$500,C387,$E$3:$E$500,E387)</f>
        <v/>
      </c>
    </row>
    <row r="388">
      <c r="A388" s="5" t="inlineStr">
        <is>
          <t>TXN0386</t>
        </is>
      </c>
      <c r="B388" s="6" t="n">
        <v>45496</v>
      </c>
      <c r="C388" s="5" t="inlineStr">
        <is>
          <t>Telenor Pakistan</t>
        </is>
      </c>
      <c r="D388" s="5" t="inlineStr">
        <is>
          <t>Customer Experience</t>
        </is>
      </c>
      <c r="E388" s="7" t="n">
        <v>61302</v>
      </c>
      <c r="F388" s="5" t="inlineStr">
        <is>
          <t>RTGS</t>
        </is>
      </c>
      <c r="G388" s="5" t="inlineStr">
        <is>
          <t>Zara Malik (CFO Office)</t>
        </is>
      </c>
      <c r="H388" s="5" t="inlineStr">
        <is>
          <t>Telecom</t>
        </is>
      </c>
      <c r="I388" s="5" t="inlineStr">
        <is>
          <t>INV-50250</t>
        </is>
      </c>
      <c r="J388" s="5" t="inlineStr">
        <is>
          <t>Pre-approved</t>
        </is>
      </c>
      <c r="K388" s="5" t="inlineStr">
        <is>
          <t>Processed</t>
        </is>
      </c>
      <c r="M388">
        <f>COUNTIFS($C$3:$C$500,C388,$E$3:$E$500,E388)</f>
        <v/>
      </c>
    </row>
    <row r="389">
      <c r="A389" s="2" t="inlineStr">
        <is>
          <t>TXN0387</t>
        </is>
      </c>
      <c r="B389" s="3" t="n">
        <v>45443</v>
      </c>
      <c r="C389" s="2" t="inlineStr">
        <is>
          <t>PwC Pakistan</t>
        </is>
      </c>
      <c r="D389" s="2" t="inlineStr">
        <is>
          <t>Finance &amp; Accounts</t>
        </is>
      </c>
      <c r="E389" s="4" t="n">
        <v>819679</v>
      </c>
      <c r="F389" s="2" t="inlineStr">
        <is>
          <t>Bank Transfer</t>
        </is>
      </c>
      <c r="G389" s="2" t="inlineStr">
        <is>
          <t>Omer Saleem (CFO)</t>
        </is>
      </c>
      <c r="H389" s="2" t="inlineStr">
        <is>
          <t>Audit &amp; Legal</t>
        </is>
      </c>
      <c r="I389" s="2" t="inlineStr">
        <is>
          <t>INV-93151</t>
        </is>
      </c>
      <c r="J389" s="2" t="n"/>
      <c r="K389" s="2" t="inlineStr">
        <is>
          <t>Processed</t>
        </is>
      </c>
      <c r="M389">
        <f>COUNTIFS($C$3:$C$500,C389,$E$3:$E$500,E389)</f>
        <v/>
      </c>
    </row>
    <row r="390">
      <c r="A390" s="5" t="inlineStr">
        <is>
          <t>TXN0388</t>
        </is>
      </c>
      <c r="B390" s="6" t="n">
        <v>45594</v>
      </c>
      <c r="C390" s="5" t="inlineStr">
        <is>
          <t>PTCL Corporate</t>
        </is>
      </c>
      <c r="D390" s="5" t="inlineStr">
        <is>
          <t>Compliance</t>
        </is>
      </c>
      <c r="E390" s="7" t="n">
        <v>37804</v>
      </c>
      <c r="F390" s="5" t="inlineStr">
        <is>
          <t>Bank Transfer</t>
        </is>
      </c>
      <c r="G390" s="5" t="inlineStr">
        <is>
          <t>Usman Tariq (Finance Manager)</t>
        </is>
      </c>
      <c r="H390" s="5" t="inlineStr">
        <is>
          <t>Telecom</t>
        </is>
      </c>
      <c r="I390" s="5" t="inlineStr">
        <is>
          <t>INV-28004</t>
        </is>
      </c>
      <c r="J390" s="5" t="n"/>
      <c r="K390" s="5" t="inlineStr">
        <is>
          <t>Processed</t>
        </is>
      </c>
      <c r="M390">
        <f>COUNTIFS($C$3:$C$500,C390,$E$3:$E$500,E390)</f>
        <v/>
      </c>
    </row>
    <row r="391">
      <c r="A391" s="2" t="inlineStr">
        <is>
          <t>TXN0389</t>
        </is>
      </c>
      <c r="B391" s="3" t="n">
        <v>45544</v>
      </c>
      <c r="C391" s="2" t="inlineStr">
        <is>
          <t>TCS Couriers</t>
        </is>
      </c>
      <c r="D391" s="2" t="inlineStr">
        <is>
          <t>Marketing</t>
        </is>
      </c>
      <c r="E391" s="4" t="n">
        <v>41180</v>
      </c>
      <c r="F391" s="2" t="inlineStr">
        <is>
          <t>Bank Transfer</t>
        </is>
      </c>
      <c r="G391" s="2" t="inlineStr">
        <is>
          <t>Usman Tariq (Finance Manager)</t>
        </is>
      </c>
      <c r="H391" s="2" t="inlineStr">
        <is>
          <t>Courier &amp; Logistics</t>
        </is>
      </c>
      <c r="I391" s="2" t="inlineStr">
        <is>
          <t>INV-73908</t>
        </is>
      </c>
      <c r="J391" s="2" t="inlineStr">
        <is>
          <t>Recurring</t>
        </is>
      </c>
      <c r="K391" s="2" t="inlineStr">
        <is>
          <t>Processed</t>
        </is>
      </c>
      <c r="M391">
        <f>COUNTIFS($C$3:$C$500,C391,$E$3:$E$500,E391)</f>
        <v/>
      </c>
    </row>
    <row r="392">
      <c r="A392" s="5" t="inlineStr">
        <is>
          <t>TXN0390</t>
        </is>
      </c>
      <c r="B392" s="6" t="n">
        <v>45614</v>
      </c>
      <c r="C392" s="5" t="inlineStr">
        <is>
          <t>Deloitte Pakistan</t>
        </is>
      </c>
      <c r="D392" s="5" t="inlineStr">
        <is>
          <t>Customer Experience</t>
        </is>
      </c>
      <c r="E392" s="7" t="n">
        <v>261755</v>
      </c>
      <c r="F392" s="5" t="inlineStr">
        <is>
          <t>RTGS</t>
        </is>
      </c>
      <c r="G392" s="5" t="inlineStr">
        <is>
          <t>Omer Saleem (CFO)</t>
        </is>
      </c>
      <c r="H392" s="5" t="inlineStr">
        <is>
          <t>Audit &amp; Legal</t>
        </is>
      </c>
      <c r="I392" s="5" t="inlineStr">
        <is>
          <t>INV-32099</t>
        </is>
      </c>
      <c r="J392" s="5" t="n"/>
      <c r="K392" s="5" t="inlineStr">
        <is>
          <t>Processed</t>
        </is>
      </c>
      <c r="M392">
        <f>COUNTIFS($C$3:$C$500,C392,$E$3:$E$500,E392)</f>
        <v/>
      </c>
    </row>
    <row r="393">
      <c r="A393" s="2" t="inlineStr">
        <is>
          <t>TXN0391</t>
        </is>
      </c>
      <c r="B393" s="3" t="n">
        <v>45707</v>
      </c>
      <c r="C393" s="2" t="inlineStr">
        <is>
          <t>Oracle Pakistan Pvt Ltd</t>
        </is>
      </c>
      <c r="D393" s="2" t="inlineStr">
        <is>
          <t>Technology</t>
        </is>
      </c>
      <c r="E393" s="4" t="n">
        <v>802280</v>
      </c>
      <c r="F393" s="2" t="inlineStr">
        <is>
          <t>Online Transfer</t>
        </is>
      </c>
      <c r="G393" s="2" t="inlineStr">
        <is>
          <t>Omer Saleem (CFO)</t>
        </is>
      </c>
      <c r="H393" s="2" t="inlineStr">
        <is>
          <t>Software License</t>
        </is>
      </c>
      <c r="I393" s="2" t="inlineStr">
        <is>
          <t>INV-66233</t>
        </is>
      </c>
      <c r="J393" s="2" t="inlineStr">
        <is>
          <t>One-time</t>
        </is>
      </c>
      <c r="K393" s="2" t="inlineStr">
        <is>
          <t>Processed</t>
        </is>
      </c>
      <c r="M393">
        <f>COUNTIFS($C$3:$C$500,C393,$E$3:$E$500,E393)</f>
        <v/>
      </c>
    </row>
    <row r="394">
      <c r="A394" s="5" t="inlineStr">
        <is>
          <t>TXN0392</t>
        </is>
      </c>
      <c r="B394" s="6" t="n">
        <v>45574</v>
      </c>
      <c r="C394" s="5" t="inlineStr">
        <is>
          <t>Systems Limited</t>
        </is>
      </c>
      <c r="D394" s="5" t="inlineStr">
        <is>
          <t>Technology</t>
        </is>
      </c>
      <c r="E394" s="7" t="n">
        <v>713825</v>
      </c>
      <c r="F394" s="5" t="inlineStr">
        <is>
          <t>Online Transfer</t>
        </is>
      </c>
      <c r="G394" s="5" t="inlineStr">
        <is>
          <t>Omer Saleem (CFO)</t>
        </is>
      </c>
      <c r="H394" s="5" t="inlineStr">
        <is>
          <t>Software License</t>
        </is>
      </c>
      <c r="I394" s="5" t="inlineStr">
        <is>
          <t>INV-79603</t>
        </is>
      </c>
      <c r="J394" s="5" t="n"/>
      <c r="K394" s="5" t="inlineStr">
        <is>
          <t>Processed</t>
        </is>
      </c>
      <c r="M394">
        <f>COUNTIFS($C$3:$C$500,C394,$E$3:$E$500,E394)</f>
        <v/>
      </c>
    </row>
    <row r="395">
      <c r="A395" s="2" t="inlineStr">
        <is>
          <t>TXN0393</t>
        </is>
      </c>
      <c r="B395" s="3" t="n">
        <v>45559</v>
      </c>
      <c r="C395" s="2" t="inlineStr">
        <is>
          <t>Systems Limited</t>
        </is>
      </c>
      <c r="D395" s="2" t="inlineStr">
        <is>
          <t>Customer Experience</t>
        </is>
      </c>
      <c r="E395" s="4" t="n">
        <v>415463</v>
      </c>
      <c r="F395" s="2" t="inlineStr">
        <is>
          <t>Bank Transfer</t>
        </is>
      </c>
      <c r="G395" s="2" t="inlineStr">
        <is>
          <t>Omer Saleem (CFO)</t>
        </is>
      </c>
      <c r="H395" s="2" t="inlineStr">
        <is>
          <t>Software License</t>
        </is>
      </c>
      <c r="I395" s="2" t="inlineStr">
        <is>
          <t>INV-23462</t>
        </is>
      </c>
      <c r="J395" s="2" t="inlineStr">
        <is>
          <t>Pre-approved</t>
        </is>
      </c>
      <c r="K395" s="2" t="inlineStr">
        <is>
          <t>Pending</t>
        </is>
      </c>
      <c r="M395">
        <f>COUNTIFS($C$3:$C$500,C395,$E$3:$E$500,E395)</f>
        <v/>
      </c>
    </row>
    <row r="396">
      <c r="A396" s="5" t="inlineStr">
        <is>
          <t>TXN0394</t>
        </is>
      </c>
      <c r="B396" s="6" t="n">
        <v>45406</v>
      </c>
      <c r="C396" s="5" t="inlineStr">
        <is>
          <t>Metro Cash &amp; Carry</t>
        </is>
      </c>
      <c r="D396" s="5" t="inlineStr">
        <is>
          <t>Finance &amp; Accounts</t>
        </is>
      </c>
      <c r="E396" s="7" t="n">
        <v>24861</v>
      </c>
      <c r="F396" s="5" t="inlineStr">
        <is>
          <t>RTGS</t>
        </is>
      </c>
      <c r="G396" s="5" t="inlineStr">
        <is>
          <t>Bilal Khan (Head Ops)</t>
        </is>
      </c>
      <c r="H396" s="5" t="inlineStr">
        <is>
          <t>Office Supplies</t>
        </is>
      </c>
      <c r="I396" s="5" t="inlineStr">
        <is>
          <t>INV-69759</t>
        </is>
      </c>
      <c r="J396" s="5" t="inlineStr">
        <is>
          <t>Urgent</t>
        </is>
      </c>
      <c r="K396" s="5" t="inlineStr">
        <is>
          <t>Under Review</t>
        </is>
      </c>
      <c r="M396">
        <f>COUNTIFS($C$3:$C$500,C396,$E$3:$E$500,E396)</f>
        <v/>
      </c>
    </row>
    <row r="397">
      <c r="A397" s="2" t="inlineStr">
        <is>
          <t>TXN0395</t>
        </is>
      </c>
      <c r="B397" s="3" t="n">
        <v>45558</v>
      </c>
      <c r="C397" s="2" t="inlineStr">
        <is>
          <t>Marriott Islamabad</t>
        </is>
      </c>
      <c r="D397" s="2" t="inlineStr">
        <is>
          <t>Operations</t>
        </is>
      </c>
      <c r="E397" s="4" t="n">
        <v>151721</v>
      </c>
      <c r="F397" s="2" t="inlineStr">
        <is>
          <t>Online Transfer</t>
        </is>
      </c>
      <c r="G397" s="2" t="inlineStr">
        <is>
          <t>Zara Malik (CFO Office)</t>
        </is>
      </c>
      <c r="H397" s="2" t="inlineStr">
        <is>
          <t>Travel &amp; Accommodation</t>
        </is>
      </c>
      <c r="I397" s="2" t="inlineStr">
        <is>
          <t>INV-34697</t>
        </is>
      </c>
      <c r="J397" s="2" t="n"/>
      <c r="K397" s="2" t="inlineStr">
        <is>
          <t>Processed</t>
        </is>
      </c>
      <c r="M397">
        <f>COUNTIFS($C$3:$C$500,C397,$E$3:$E$500,E397)</f>
        <v/>
      </c>
    </row>
    <row r="398">
      <c r="A398" s="5" t="inlineStr">
        <is>
          <t>TXN0396</t>
        </is>
      </c>
      <c r="B398" s="6" t="n">
        <v>45491</v>
      </c>
      <c r="C398" s="5" t="inlineStr">
        <is>
          <t>NetSol Technologies</t>
        </is>
      </c>
      <c r="D398" s="5" t="inlineStr">
        <is>
          <t>Finance &amp; Accounts</t>
        </is>
      </c>
      <c r="E398" s="7" t="n">
        <v>388213</v>
      </c>
      <c r="F398" s="5" t="inlineStr">
        <is>
          <t>Bank Transfer</t>
        </is>
      </c>
      <c r="G398" s="5" t="inlineStr">
        <is>
          <t>Omer Saleem (CFO)</t>
        </is>
      </c>
      <c r="H398" s="5" t="inlineStr">
        <is>
          <t>Software License</t>
        </is>
      </c>
      <c r="I398" s="5" t="inlineStr">
        <is>
          <t>INV-26143</t>
        </is>
      </c>
      <c r="J398" s="5" t="inlineStr">
        <is>
          <t>Recurring</t>
        </is>
      </c>
      <c r="K398" s="5" t="inlineStr">
        <is>
          <t>Processed</t>
        </is>
      </c>
      <c r="M398">
        <f>COUNTIFS($C$3:$C$500,C398,$E$3:$E$500,E398)</f>
        <v/>
      </c>
    </row>
    <row r="399">
      <c r="A399" s="2" t="inlineStr">
        <is>
          <t>TXN0397</t>
        </is>
      </c>
      <c r="B399" s="3" t="n">
        <v>45702</v>
      </c>
      <c r="C399" s="2" t="inlineStr">
        <is>
          <t>Axis Law Chambers</t>
        </is>
      </c>
      <c r="D399" s="2" t="inlineStr">
        <is>
          <t>Customer Experience</t>
        </is>
      </c>
      <c r="E399" s="4" t="n">
        <v>293715</v>
      </c>
      <c r="F399" s="2" t="inlineStr">
        <is>
          <t>Bank Transfer</t>
        </is>
      </c>
      <c r="G399" s="2" t="inlineStr">
        <is>
          <t>Omer Saleem (CFO)</t>
        </is>
      </c>
      <c r="H399" s="2" t="inlineStr">
        <is>
          <t>Legal Services</t>
        </is>
      </c>
      <c r="I399" s="2" t="inlineStr">
        <is>
          <t>INV-96765</t>
        </is>
      </c>
      <c r="J399" s="2" t="n"/>
      <c r="K399" s="2" t="inlineStr">
        <is>
          <t>Processed</t>
        </is>
      </c>
      <c r="M399">
        <f>COUNTIFS($C$3:$C$500,C399,$E$3:$E$500,E399)</f>
        <v/>
      </c>
    </row>
    <row r="400">
      <c r="A400" s="5" t="inlineStr">
        <is>
          <t>TXN0398</t>
        </is>
      </c>
      <c r="B400" s="6" t="n">
        <v>45610</v>
      </c>
      <c r="C400" s="5" t="inlineStr">
        <is>
          <t>Inbox Business Technologies</t>
        </is>
      </c>
      <c r="D400" s="5" t="inlineStr">
        <is>
          <t>Risk Management</t>
        </is>
      </c>
      <c r="E400" s="7" t="n">
        <v>249089</v>
      </c>
      <c r="F400" s="5" t="inlineStr">
        <is>
          <t>Bank Transfer</t>
        </is>
      </c>
      <c r="G400" s="5" t="inlineStr">
        <is>
          <t>Omer Saleem (CFO)</t>
        </is>
      </c>
      <c r="H400" s="5" t="inlineStr">
        <is>
          <t>IT Services</t>
        </is>
      </c>
      <c r="I400" s="5" t="inlineStr">
        <is>
          <t>INV-81733</t>
        </is>
      </c>
      <c r="J400" s="5" t="n"/>
      <c r="K400" s="5" t="inlineStr">
        <is>
          <t>Processed</t>
        </is>
      </c>
      <c r="M400">
        <f>COUNTIFS($C$3:$C$500,C400,$E$3:$E$500,E400)</f>
        <v/>
      </c>
    </row>
    <row r="401">
      <c r="A401" s="2" t="inlineStr">
        <is>
          <t>TXN0399</t>
        </is>
      </c>
      <c r="B401" s="3" t="n">
        <v>45537</v>
      </c>
      <c r="C401" s="2" t="inlineStr">
        <is>
          <t>Zones Pakistan Pvt Ltd</t>
        </is>
      </c>
      <c r="D401" s="2" t="inlineStr">
        <is>
          <t>Finance &amp; Accounts</t>
        </is>
      </c>
      <c r="E401" s="4" t="n">
        <v>741928</v>
      </c>
      <c r="F401" s="2" t="inlineStr">
        <is>
          <t>Bank Transfer</t>
        </is>
      </c>
      <c r="G401" s="2" t="inlineStr">
        <is>
          <t>Omer Saleem (CFO)</t>
        </is>
      </c>
      <c r="H401" s="2" t="inlineStr">
        <is>
          <t>Hardware</t>
        </is>
      </c>
      <c r="I401" s="2" t="inlineStr">
        <is>
          <t>INV-96832</t>
        </is>
      </c>
      <c r="J401" s="2" t="inlineStr">
        <is>
          <t>Urgent</t>
        </is>
      </c>
      <c r="K401" s="2" t="inlineStr">
        <is>
          <t>Processed</t>
        </is>
      </c>
      <c r="M401">
        <f>COUNTIFS($C$3:$C$500,C401,$E$3:$E$500,E401)</f>
        <v/>
      </c>
    </row>
    <row r="402">
      <c r="A402" s="5" t="inlineStr">
        <is>
          <t>TXN0400</t>
        </is>
      </c>
      <c r="B402" s="6" t="n">
        <v>45436</v>
      </c>
      <c r="C402" s="5" t="inlineStr">
        <is>
          <t>Pak Elektron Limited</t>
        </is>
      </c>
      <c r="D402" s="5" t="inlineStr">
        <is>
          <t>Marketing</t>
        </is>
      </c>
      <c r="E402" s="7" t="n">
        <v>231535</v>
      </c>
      <c r="F402" s="5" t="inlineStr">
        <is>
          <t>RTGS</t>
        </is>
      </c>
      <c r="G402" s="5" t="inlineStr">
        <is>
          <t>Omer Saleem (CFO)</t>
        </is>
      </c>
      <c r="H402" s="5" t="inlineStr">
        <is>
          <t>Hardware</t>
        </is>
      </c>
      <c r="I402" s="5" t="inlineStr">
        <is>
          <t>INV-24943</t>
        </is>
      </c>
      <c r="J402" s="5" t="n"/>
      <c r="K402" s="5" t="inlineStr">
        <is>
          <t>Processed</t>
        </is>
      </c>
      <c r="M402">
        <f>COUNTIFS($C$3:$C$500,C402,$E$3:$E$500,E402)</f>
        <v/>
      </c>
    </row>
    <row r="403">
      <c r="A403" s="2" t="inlineStr">
        <is>
          <t>TXN0401</t>
        </is>
      </c>
      <c r="B403" s="3" t="n">
        <v>45650</v>
      </c>
      <c r="C403" s="2" t="inlineStr">
        <is>
          <t>PTCL Corporate</t>
        </is>
      </c>
      <c r="D403" s="2" t="inlineStr">
        <is>
          <t>Marketing</t>
        </is>
      </c>
      <c r="E403" s="4" t="n">
        <v>46336</v>
      </c>
      <c r="F403" s="2" t="inlineStr">
        <is>
          <t>Online Transfer</t>
        </is>
      </c>
      <c r="G403" s="2" t="inlineStr">
        <is>
          <t>Usman Tariq (Finance Manager)</t>
        </is>
      </c>
      <c r="H403" s="2" t="inlineStr">
        <is>
          <t>Telecom</t>
        </is>
      </c>
      <c r="I403" s="2" t="inlineStr">
        <is>
          <t>INV-63707</t>
        </is>
      </c>
      <c r="J403" s="2" t="n"/>
      <c r="K403" s="2" t="inlineStr">
        <is>
          <t>Processed</t>
        </is>
      </c>
      <c r="M403">
        <f>COUNTIFS($C$3:$C$500,C403,$E$3:$E$500,E403)</f>
        <v/>
      </c>
    </row>
    <row r="404">
      <c r="A404" s="5" t="inlineStr">
        <is>
          <t>TXN0402</t>
        </is>
      </c>
      <c r="B404" s="6" t="n">
        <v>45735</v>
      </c>
      <c r="C404" s="5" t="inlineStr">
        <is>
          <t>TechAccess Pakistan</t>
        </is>
      </c>
      <c r="D404" s="5" t="inlineStr">
        <is>
          <t>Compliance</t>
        </is>
      </c>
      <c r="E404" s="7" t="n">
        <v>604714</v>
      </c>
      <c r="F404" s="5" t="inlineStr">
        <is>
          <t>Online Transfer</t>
        </is>
      </c>
      <c r="G404" s="5" t="inlineStr">
        <is>
          <t>Omer Saleem (CFO)</t>
        </is>
      </c>
      <c r="H404" s="5" t="inlineStr">
        <is>
          <t>Hardware</t>
        </is>
      </c>
      <c r="I404" s="5" t="inlineStr">
        <is>
          <t>INV-40737</t>
        </is>
      </c>
      <c r="J404" s="5" t="n"/>
      <c r="K404" s="5" t="inlineStr">
        <is>
          <t>Processed</t>
        </is>
      </c>
      <c r="M404">
        <f>COUNTIFS($C$3:$C$500,C404,$E$3:$E$500,E404)</f>
        <v/>
      </c>
    </row>
    <row r="405">
      <c r="A405" s="2" t="inlineStr">
        <is>
          <t>TXN0403</t>
        </is>
      </c>
      <c r="B405" s="3" t="n">
        <v>45429</v>
      </c>
      <c r="C405" s="2" t="inlineStr">
        <is>
          <t>Nestle Pakistan</t>
        </is>
      </c>
      <c r="D405" s="2" t="inlineStr">
        <is>
          <t>Technology</t>
        </is>
      </c>
      <c r="E405" s="4" t="n">
        <v>28179</v>
      </c>
      <c r="F405" s="2" t="inlineStr">
        <is>
          <t>Bank Transfer</t>
        </is>
      </c>
      <c r="G405" s="2" t="inlineStr">
        <is>
          <t>Usman Tariq (Finance Manager)</t>
        </is>
      </c>
      <c r="H405" s="2" t="inlineStr">
        <is>
          <t>Office Supplies</t>
        </is>
      </c>
      <c r="I405" s="2" t="inlineStr">
        <is>
          <t>INV-43540</t>
        </is>
      </c>
      <c r="J405" s="2" t="n"/>
      <c r="K405" s="2" t="inlineStr">
        <is>
          <t>Processed</t>
        </is>
      </c>
      <c r="M405">
        <f>COUNTIFS($C$3:$C$500,C405,$E$3:$E$500,E405)</f>
        <v/>
      </c>
    </row>
    <row r="406">
      <c r="A406" s="5" t="inlineStr">
        <is>
          <t>TXN0404</t>
        </is>
      </c>
      <c r="B406" s="6" t="n">
        <v>45434</v>
      </c>
      <c r="C406" s="5" t="inlineStr">
        <is>
          <t>Meezan Bank Ltd</t>
        </is>
      </c>
      <c r="D406" s="5" t="inlineStr">
        <is>
          <t>Finance &amp; Accounts</t>
        </is>
      </c>
      <c r="E406" s="7" t="n">
        <v>87520</v>
      </c>
      <c r="F406" s="5" t="inlineStr">
        <is>
          <t>Bank Transfer</t>
        </is>
      </c>
      <c r="G406" s="5" t="inlineStr">
        <is>
          <t>Sara Ahmed (VP Finance)</t>
        </is>
      </c>
      <c r="H406" s="5" t="inlineStr">
        <is>
          <t>Banking Services</t>
        </is>
      </c>
      <c r="I406" s="5" t="inlineStr">
        <is>
          <t>INV-48085</t>
        </is>
      </c>
      <c r="J406" s="5" t="inlineStr">
        <is>
          <t>Recurring</t>
        </is>
      </c>
      <c r="K406" s="5" t="inlineStr">
        <is>
          <t>Processed</t>
        </is>
      </c>
      <c r="M406">
        <f>COUNTIFS($C$3:$C$500,C406,$E$3:$E$500,E406)</f>
        <v/>
      </c>
    </row>
    <row r="407">
      <c r="A407" s="2" t="inlineStr">
        <is>
          <t>TXN0405</t>
        </is>
      </c>
      <c r="B407" s="3" t="n">
        <v>45406</v>
      </c>
      <c r="C407" s="2" t="inlineStr">
        <is>
          <t>DHL Pakistan</t>
        </is>
      </c>
      <c r="D407" s="2" t="inlineStr">
        <is>
          <t>Risk Management</t>
        </is>
      </c>
      <c r="E407" s="4" t="n">
        <v>17998</v>
      </c>
      <c r="F407" s="2" t="inlineStr">
        <is>
          <t>Bank Transfer</t>
        </is>
      </c>
      <c r="G407" s="2" t="inlineStr">
        <is>
          <t>Usman Tariq (Finance Manager)</t>
        </is>
      </c>
      <c r="H407" s="2" t="inlineStr">
        <is>
          <t>Courier &amp; Logistics</t>
        </is>
      </c>
      <c r="I407" s="2" t="inlineStr">
        <is>
          <t>INV-96947</t>
        </is>
      </c>
      <c r="J407" s="2" t="n"/>
      <c r="K407" s="2" t="inlineStr">
        <is>
          <t>Processed</t>
        </is>
      </c>
      <c r="M407">
        <f>COUNTIFS($C$3:$C$500,C407,$E$3:$E$500,E407)</f>
        <v/>
      </c>
    </row>
    <row r="408">
      <c r="A408" s="5" t="inlineStr">
        <is>
          <t>TXN0406</t>
        </is>
      </c>
      <c r="B408" s="6" t="n">
        <v>45573</v>
      </c>
      <c r="C408" s="5" t="inlineStr">
        <is>
          <t>EY Pakistan</t>
        </is>
      </c>
      <c r="D408" s="5" t="inlineStr">
        <is>
          <t>HR &amp; Admin</t>
        </is>
      </c>
      <c r="E408" s="7" t="n">
        <v>857253</v>
      </c>
      <c r="F408" s="5" t="inlineStr">
        <is>
          <t>Bank Transfer</t>
        </is>
      </c>
      <c r="G408" s="5" t="inlineStr">
        <is>
          <t>Omer Saleem (CFO)</t>
        </is>
      </c>
      <c r="H408" s="5" t="inlineStr">
        <is>
          <t>Audit &amp; Legal</t>
        </is>
      </c>
      <c r="I408" s="5" t="inlineStr">
        <is>
          <t>INV-24920</t>
        </is>
      </c>
      <c r="J408" s="5" t="inlineStr">
        <is>
          <t>Pre-approved</t>
        </is>
      </c>
      <c r="K408" s="5" t="inlineStr">
        <is>
          <t>Processed</t>
        </is>
      </c>
      <c r="M408">
        <f>COUNTIFS($C$3:$C$500,C408,$E$3:$E$500,E408)</f>
        <v/>
      </c>
    </row>
    <row r="409">
      <c r="A409" s="2" t="inlineStr">
        <is>
          <t>TXN0407</t>
        </is>
      </c>
      <c r="B409" s="3" t="n">
        <v>45715</v>
      </c>
      <c r="C409" s="2" t="inlineStr">
        <is>
          <t>FedEx Pakistan</t>
        </is>
      </c>
      <c r="D409" s="2" t="inlineStr">
        <is>
          <t>Finance &amp; Accounts</t>
        </is>
      </c>
      <c r="E409" s="4" t="n">
        <v>41960</v>
      </c>
      <c r="F409" s="2" t="inlineStr">
        <is>
          <t>Bank Transfer</t>
        </is>
      </c>
      <c r="G409" s="2" t="inlineStr">
        <is>
          <t>Usman Tariq (Finance Manager)</t>
        </is>
      </c>
      <c r="H409" s="2" t="inlineStr">
        <is>
          <t>Courier &amp; Logistics</t>
        </is>
      </c>
      <c r="I409" s="2" t="inlineStr">
        <is>
          <t>INV-27368</t>
        </is>
      </c>
      <c r="J409" s="2" t="n"/>
      <c r="K409" s="2" t="inlineStr">
        <is>
          <t>Processed</t>
        </is>
      </c>
      <c r="M409">
        <f>COUNTIFS($C$3:$C$500,C409,$E$3:$E$500,E409)</f>
        <v/>
      </c>
    </row>
    <row r="410">
      <c r="A410" s="5" t="inlineStr">
        <is>
          <t>TXN0408</t>
        </is>
      </c>
      <c r="B410" s="6" t="n">
        <v>45674</v>
      </c>
      <c r="C410" s="5" t="inlineStr">
        <is>
          <t>Microsoft Pakistan</t>
        </is>
      </c>
      <c r="D410" s="5" t="inlineStr">
        <is>
          <t>Operations</t>
        </is>
      </c>
      <c r="E410" s="7" t="n">
        <v>778201</v>
      </c>
      <c r="F410" s="5" t="inlineStr">
        <is>
          <t>Bank Transfer</t>
        </is>
      </c>
      <c r="G410" s="5" t="inlineStr">
        <is>
          <t>Omer Saleem (CFO)</t>
        </is>
      </c>
      <c r="H410" s="5" t="inlineStr">
        <is>
          <t>Software License</t>
        </is>
      </c>
      <c r="I410" s="5" t="inlineStr">
        <is>
          <t>INV-90127</t>
        </is>
      </c>
      <c r="J410" s="5" t="inlineStr">
        <is>
          <t>Pre-approved</t>
        </is>
      </c>
      <c r="K410" s="5" t="inlineStr">
        <is>
          <t>Processed</t>
        </is>
      </c>
      <c r="M410">
        <f>COUNTIFS($C$3:$C$500,C410,$E$3:$E$500,E410)</f>
        <v/>
      </c>
    </row>
    <row r="411">
      <c r="A411" s="2" t="inlineStr">
        <is>
          <t>TXN0409</t>
        </is>
      </c>
      <c r="B411" s="3" t="n">
        <v>45632</v>
      </c>
      <c r="C411" s="2" t="inlineStr">
        <is>
          <t>Pak Elektron Limited</t>
        </is>
      </c>
      <c r="D411" s="2" t="inlineStr">
        <is>
          <t>Technology</t>
        </is>
      </c>
      <c r="E411" s="4" t="n">
        <v>225763</v>
      </c>
      <c r="F411" s="2" t="inlineStr">
        <is>
          <t>Online Transfer</t>
        </is>
      </c>
      <c r="G411" s="2" t="inlineStr">
        <is>
          <t>Omer Saleem (CFO)</t>
        </is>
      </c>
      <c r="H411" s="2" t="inlineStr">
        <is>
          <t>Hardware</t>
        </is>
      </c>
      <c r="I411" s="2" t="inlineStr">
        <is>
          <t>INV-67761</t>
        </is>
      </c>
      <c r="J411" s="2" t="n"/>
      <c r="K411" s="2" t="inlineStr">
        <is>
          <t>Processed</t>
        </is>
      </c>
      <c r="M411">
        <f>COUNTIFS($C$3:$C$500,C411,$E$3:$E$500,E411)</f>
        <v/>
      </c>
    </row>
    <row r="412">
      <c r="A412" s="5" t="inlineStr">
        <is>
          <t>TXN0410</t>
        </is>
      </c>
      <c r="B412" s="6" t="n">
        <v>45743</v>
      </c>
      <c r="C412" s="5" t="inlineStr">
        <is>
          <t>MCB Bank Ltd</t>
        </is>
      </c>
      <c r="D412" s="5" t="inlineStr">
        <is>
          <t>Customer Experience</t>
        </is>
      </c>
      <c r="E412" s="7" t="n">
        <v>67236</v>
      </c>
      <c r="F412" s="5" t="inlineStr">
        <is>
          <t>Online Transfer</t>
        </is>
      </c>
      <c r="G412" s="5" t="inlineStr">
        <is>
          <t>Sara Ahmed (VP Finance)</t>
        </is>
      </c>
      <c r="H412" s="5" t="inlineStr">
        <is>
          <t>Banking Services</t>
        </is>
      </c>
      <c r="I412" s="5" t="inlineStr">
        <is>
          <t>INV-78039</t>
        </is>
      </c>
      <c r="J412" s="5" t="inlineStr">
        <is>
          <t>Urgent</t>
        </is>
      </c>
      <c r="K412" s="5" t="inlineStr">
        <is>
          <t>Under Review</t>
        </is>
      </c>
      <c r="M412">
        <f>COUNTIFS($C$3:$C$500,C412,$E$3:$E$500,E412)</f>
        <v/>
      </c>
    </row>
    <row r="413">
      <c r="A413" s="2" t="inlineStr">
        <is>
          <t>TXN0411</t>
        </is>
      </c>
      <c r="B413" s="3" t="n">
        <v>45629</v>
      </c>
      <c r="C413" s="2" t="inlineStr">
        <is>
          <t>Microsoft Pakistan</t>
        </is>
      </c>
      <c r="D413" s="2" t="inlineStr">
        <is>
          <t>Operations</t>
        </is>
      </c>
      <c r="E413" s="4" t="n">
        <v>848775</v>
      </c>
      <c r="F413" s="2" t="inlineStr">
        <is>
          <t>Online Transfer</t>
        </is>
      </c>
      <c r="G413" s="2" t="inlineStr">
        <is>
          <t>Omer Saleem (CFO)</t>
        </is>
      </c>
      <c r="H413" s="2" t="inlineStr">
        <is>
          <t>Software License</t>
        </is>
      </c>
      <c r="I413" s="2" t="inlineStr">
        <is>
          <t>INV-29484</t>
        </is>
      </c>
      <c r="J413" s="2" t="inlineStr">
        <is>
          <t>Urgent</t>
        </is>
      </c>
      <c r="K413" s="2" t="inlineStr">
        <is>
          <t>Under Review</t>
        </is>
      </c>
      <c r="M413">
        <f>COUNTIFS($C$3:$C$500,C413,$E$3:$E$500,E413)</f>
        <v/>
      </c>
    </row>
    <row r="414">
      <c r="A414" s="5" t="inlineStr">
        <is>
          <t>TXN0412</t>
        </is>
      </c>
      <c r="B414" s="6" t="n">
        <v>45623</v>
      </c>
      <c r="C414" s="5" t="inlineStr">
        <is>
          <t>Inbox Business Technologies</t>
        </is>
      </c>
      <c r="D414" s="5" t="inlineStr">
        <is>
          <t>Technology</t>
        </is>
      </c>
      <c r="E414" s="7" t="n">
        <v>798070</v>
      </c>
      <c r="F414" s="5" t="inlineStr">
        <is>
          <t>Bank Transfer</t>
        </is>
      </c>
      <c r="G414" s="5" t="inlineStr">
        <is>
          <t>Omer Saleem (CFO)</t>
        </is>
      </c>
      <c r="H414" s="5" t="inlineStr">
        <is>
          <t>IT Services</t>
        </is>
      </c>
      <c r="I414" s="5" t="inlineStr">
        <is>
          <t>INV-19812</t>
        </is>
      </c>
      <c r="J414" s="5" t="inlineStr">
        <is>
          <t>One-time</t>
        </is>
      </c>
      <c r="K414" s="5" t="inlineStr">
        <is>
          <t>Processed</t>
        </is>
      </c>
      <c r="M414">
        <f>COUNTIFS($C$3:$C$500,C414,$E$3:$E$500,E414)</f>
        <v/>
      </c>
    </row>
    <row r="415">
      <c r="A415" s="2" t="inlineStr">
        <is>
          <t>TXN0413</t>
        </is>
      </c>
      <c r="B415" s="3" t="n">
        <v>45642</v>
      </c>
      <c r="C415" s="2" t="inlineStr">
        <is>
          <t>Allied Bank Limited</t>
        </is>
      </c>
      <c r="D415" s="2" t="inlineStr">
        <is>
          <t>Operations</t>
        </is>
      </c>
      <c r="E415" s="4" t="n">
        <v>63129</v>
      </c>
      <c r="F415" s="2" t="inlineStr">
        <is>
          <t>Online Transfer</t>
        </is>
      </c>
      <c r="G415" s="2" t="inlineStr">
        <is>
          <t>Sara Ahmed (VP Finance)</t>
        </is>
      </c>
      <c r="H415" s="2" t="inlineStr">
        <is>
          <t>Banking Services</t>
        </is>
      </c>
      <c r="I415" s="2" t="inlineStr">
        <is>
          <t>INV-62858</t>
        </is>
      </c>
      <c r="J415" s="2" t="n"/>
      <c r="K415" s="2" t="inlineStr">
        <is>
          <t>Processed</t>
        </is>
      </c>
      <c r="M415">
        <f>COUNTIFS($C$3:$C$500,C415,$E$3:$E$500,E415)</f>
        <v/>
      </c>
    </row>
    <row r="416">
      <c r="A416" s="5" t="inlineStr">
        <is>
          <t>TXN0414</t>
        </is>
      </c>
      <c r="B416" s="6" t="n">
        <v>45638</v>
      </c>
      <c r="C416" s="5" t="inlineStr">
        <is>
          <t>FedEx Pakistan</t>
        </is>
      </c>
      <c r="D416" s="5" t="inlineStr">
        <is>
          <t>HR &amp; Admin</t>
        </is>
      </c>
      <c r="E416" s="7" t="n">
        <v>39655</v>
      </c>
      <c r="F416" s="5" t="inlineStr">
        <is>
          <t>Online Transfer</t>
        </is>
      </c>
      <c r="G416" s="5" t="inlineStr">
        <is>
          <t>Bilal Khan (Head Ops)</t>
        </is>
      </c>
      <c r="H416" s="5" t="inlineStr">
        <is>
          <t>Courier &amp; Logistics</t>
        </is>
      </c>
      <c r="I416" s="5" t="inlineStr">
        <is>
          <t>INV-25559</t>
        </is>
      </c>
      <c r="J416" s="5" t="inlineStr">
        <is>
          <t>One-time</t>
        </is>
      </c>
      <c r="K416" s="5" t="inlineStr">
        <is>
          <t>Processed</t>
        </is>
      </c>
      <c r="M416">
        <f>COUNTIFS($C$3:$C$500,C416,$E$3:$E$500,E416)</f>
        <v/>
      </c>
    </row>
    <row r="417">
      <c r="A417" s="2" t="inlineStr">
        <is>
          <t>TXN0415</t>
        </is>
      </c>
      <c r="B417" s="3" t="n">
        <v>45664</v>
      </c>
      <c r="C417" s="2" t="inlineStr">
        <is>
          <t>Microsoft Pakistan</t>
        </is>
      </c>
      <c r="D417" s="2" t="inlineStr">
        <is>
          <t>Operations</t>
        </is>
      </c>
      <c r="E417" s="4" t="n">
        <v>583802</v>
      </c>
      <c r="F417" s="2" t="inlineStr">
        <is>
          <t>Bank Transfer</t>
        </is>
      </c>
      <c r="G417" s="2" t="inlineStr">
        <is>
          <t>Omer Saleem (CFO)</t>
        </is>
      </c>
      <c r="H417" s="2" t="inlineStr">
        <is>
          <t>Software License</t>
        </is>
      </c>
      <c r="I417" s="2" t="inlineStr">
        <is>
          <t>INV-89194</t>
        </is>
      </c>
      <c r="J417" s="2" t="n"/>
      <c r="K417" s="2" t="inlineStr">
        <is>
          <t>Pending</t>
        </is>
      </c>
      <c r="M417">
        <f>COUNTIFS($C$3:$C$500,C417,$E$3:$E$500,E417)</f>
        <v/>
      </c>
    </row>
    <row r="418">
      <c r="A418" s="5" t="inlineStr">
        <is>
          <t>TXN0416</t>
        </is>
      </c>
      <c r="B418" s="6" t="n">
        <v>45569</v>
      </c>
      <c r="C418" s="5" t="inlineStr">
        <is>
          <t>Avari Towers</t>
        </is>
      </c>
      <c r="D418" s="5" t="inlineStr">
        <is>
          <t>Finance &amp; Accounts</t>
        </is>
      </c>
      <c r="E418" s="7" t="n">
        <v>161023</v>
      </c>
      <c r="F418" s="5" t="inlineStr">
        <is>
          <t>RTGS</t>
        </is>
      </c>
      <c r="G418" s="5" t="inlineStr">
        <is>
          <t>Sara Ahmed (VP Finance)</t>
        </is>
      </c>
      <c r="H418" s="5" t="inlineStr">
        <is>
          <t>Travel &amp; Accommodation</t>
        </is>
      </c>
      <c r="I418" s="5" t="inlineStr">
        <is>
          <t>INV-69566</t>
        </is>
      </c>
      <c r="J418" s="5" t="inlineStr">
        <is>
          <t>Recurring</t>
        </is>
      </c>
      <c r="K418" s="5" t="inlineStr">
        <is>
          <t>Pending</t>
        </is>
      </c>
      <c r="M418">
        <f>COUNTIFS($C$3:$C$500,C418,$E$3:$E$500,E418)</f>
        <v/>
      </c>
    </row>
    <row r="419">
      <c r="A419" s="2" t="inlineStr">
        <is>
          <t>TXN0417</t>
        </is>
      </c>
      <c r="B419" s="3" t="n">
        <v>45614</v>
      </c>
      <c r="C419" s="2" t="inlineStr">
        <is>
          <t>Pak Elektron Limited</t>
        </is>
      </c>
      <c r="D419" s="2" t="inlineStr">
        <is>
          <t>Marketing</t>
        </is>
      </c>
      <c r="E419" s="4" t="n">
        <v>582915</v>
      </c>
      <c r="F419" s="2" t="inlineStr">
        <is>
          <t>Bank Transfer</t>
        </is>
      </c>
      <c r="G419" s="2" t="inlineStr">
        <is>
          <t>Omer Saleem (CFO)</t>
        </is>
      </c>
      <c r="H419" s="2" t="inlineStr">
        <is>
          <t>Hardware</t>
        </is>
      </c>
      <c r="I419" s="2" t="inlineStr">
        <is>
          <t>INV-96364</t>
        </is>
      </c>
      <c r="J419" s="2" t="n"/>
      <c r="K419" s="2" t="inlineStr">
        <is>
          <t>Processed</t>
        </is>
      </c>
      <c r="M419">
        <f>COUNTIFS($C$3:$C$500,C419,$E$3:$E$500,E419)</f>
        <v/>
      </c>
    </row>
    <row r="420">
      <c r="A420" s="5" t="inlineStr">
        <is>
          <t>TXN0418</t>
        </is>
      </c>
      <c r="B420" s="6" t="n">
        <v>45663</v>
      </c>
      <c r="C420" s="5" t="inlineStr">
        <is>
          <t>KPMG Taseer Hadi</t>
        </is>
      </c>
      <c r="D420" s="5" t="inlineStr">
        <is>
          <t>Operations</t>
        </is>
      </c>
      <c r="E420" s="7" t="n">
        <v>870071</v>
      </c>
      <c r="F420" s="5" t="inlineStr">
        <is>
          <t>Bank Transfer</t>
        </is>
      </c>
      <c r="G420" s="5" t="inlineStr">
        <is>
          <t>Omer Saleem (CFO)</t>
        </is>
      </c>
      <c r="H420" s="5" t="inlineStr">
        <is>
          <t>Audit &amp; Legal</t>
        </is>
      </c>
      <c r="I420" s="5" t="inlineStr">
        <is>
          <t>INV-16000</t>
        </is>
      </c>
      <c r="J420" s="5" t="n"/>
      <c r="K420" s="5" t="inlineStr">
        <is>
          <t>Processed</t>
        </is>
      </c>
      <c r="M420">
        <f>COUNTIFS($C$3:$C$500,C420,$E$3:$E$500,E420)</f>
        <v/>
      </c>
    </row>
    <row r="421">
      <c r="A421" s="2" t="inlineStr">
        <is>
          <t>TXN0419</t>
        </is>
      </c>
      <c r="B421" s="3" t="n">
        <v>45513</v>
      </c>
      <c r="C421" s="2" t="inlineStr">
        <is>
          <t>Teradata Pakistan</t>
        </is>
      </c>
      <c r="D421" s="2" t="inlineStr">
        <is>
          <t>Risk Management</t>
        </is>
      </c>
      <c r="E421" s="4" t="n">
        <v>551687</v>
      </c>
      <c r="F421" s="2" t="inlineStr">
        <is>
          <t>RTGS</t>
        </is>
      </c>
      <c r="G421" s="2" t="inlineStr">
        <is>
          <t>Omer Saleem (CFO)</t>
        </is>
      </c>
      <c r="H421" s="2" t="inlineStr">
        <is>
          <t>IT Services</t>
        </is>
      </c>
      <c r="I421" s="2" t="inlineStr">
        <is>
          <t>INV-25826</t>
        </is>
      </c>
      <c r="J421" s="2" t="inlineStr">
        <is>
          <t>Pre-approved</t>
        </is>
      </c>
      <c r="K421" s="2" t="inlineStr">
        <is>
          <t>Processed</t>
        </is>
      </c>
      <c r="M421">
        <f>COUNTIFS($C$3:$C$500,C421,$E$3:$E$500,E421)</f>
        <v/>
      </c>
    </row>
    <row r="422">
      <c r="A422" s="5" t="inlineStr">
        <is>
          <t>TXN0420</t>
        </is>
      </c>
      <c r="B422" s="6" t="n">
        <v>45595</v>
      </c>
      <c r="C422" s="5" t="inlineStr">
        <is>
          <t>FedEx Pakistan</t>
        </is>
      </c>
      <c r="D422" s="5" t="inlineStr">
        <is>
          <t>Finance &amp; Accounts</t>
        </is>
      </c>
      <c r="E422" s="7" t="n">
        <v>32758</v>
      </c>
      <c r="F422" s="5" t="inlineStr">
        <is>
          <t>Bank Transfer</t>
        </is>
      </c>
      <c r="G422" s="5" t="inlineStr">
        <is>
          <t>Usman Tariq (Finance Manager)</t>
        </is>
      </c>
      <c r="H422" s="5" t="inlineStr">
        <is>
          <t>Courier &amp; Logistics</t>
        </is>
      </c>
      <c r="I422" s="5" t="inlineStr">
        <is>
          <t>INV-69048</t>
        </is>
      </c>
      <c r="J422" s="5" t="inlineStr">
        <is>
          <t>One-time</t>
        </is>
      </c>
      <c r="K422" s="5" t="inlineStr">
        <is>
          <t>Under Review</t>
        </is>
      </c>
      <c r="M422">
        <f>COUNTIFS($C$3:$C$500,C422,$E$3:$E$500,E422)</f>
        <v/>
      </c>
    </row>
    <row r="423">
      <c r="A423" s="2" t="inlineStr">
        <is>
          <t>TXN0421</t>
        </is>
      </c>
      <c r="B423" s="3" t="n">
        <v>45407</v>
      </c>
      <c r="C423" s="2" t="inlineStr">
        <is>
          <t>Pearl Continental Karachi</t>
        </is>
      </c>
      <c r="D423" s="2" t="inlineStr">
        <is>
          <t>Technology</t>
        </is>
      </c>
      <c r="E423" s="4" t="n">
        <v>166682</v>
      </c>
      <c r="F423" s="2" t="inlineStr">
        <is>
          <t>Cheque</t>
        </is>
      </c>
      <c r="G423" s="2" t="inlineStr">
        <is>
          <t>Zara Malik (CFO Office)</t>
        </is>
      </c>
      <c r="H423" s="2" t="inlineStr">
        <is>
          <t>Travel &amp; Accommodation</t>
        </is>
      </c>
      <c r="I423" s="2" t="inlineStr">
        <is>
          <t>INV-76628</t>
        </is>
      </c>
      <c r="J423" s="2" t="n"/>
      <c r="K423" s="2" t="inlineStr">
        <is>
          <t>Under Review</t>
        </is>
      </c>
      <c r="M423">
        <f>COUNTIFS($C$3:$C$500,C423,$E$3:$E$500,E423)</f>
        <v/>
      </c>
    </row>
    <row r="424">
      <c r="A424" s="5" t="inlineStr">
        <is>
          <t>TXN0422</t>
        </is>
      </c>
      <c r="B424" s="6" t="n">
        <v>45581</v>
      </c>
      <c r="C424" s="5" t="inlineStr">
        <is>
          <t>Telenor Pakistan</t>
        </is>
      </c>
      <c r="D424" s="5" t="inlineStr">
        <is>
          <t>Risk Management</t>
        </is>
      </c>
      <c r="E424" s="7" t="n">
        <v>34370</v>
      </c>
      <c r="F424" s="5" t="inlineStr">
        <is>
          <t>Online Transfer</t>
        </is>
      </c>
      <c r="G424" s="5" t="inlineStr">
        <is>
          <t>Bilal Khan (Head Ops)</t>
        </is>
      </c>
      <c r="H424" s="5" t="inlineStr">
        <is>
          <t>Telecom</t>
        </is>
      </c>
      <c r="I424" s="5" t="inlineStr">
        <is>
          <t>INV-64875</t>
        </is>
      </c>
      <c r="J424" s="5" t="n"/>
      <c r="K424" s="5" t="inlineStr">
        <is>
          <t>Processed</t>
        </is>
      </c>
      <c r="M424">
        <f>COUNTIFS($C$3:$C$500,C424,$E$3:$E$500,E424)</f>
        <v/>
      </c>
    </row>
    <row r="425">
      <c r="A425" s="2" t="inlineStr">
        <is>
          <t>TXN0423</t>
        </is>
      </c>
      <c r="B425" s="3" t="n">
        <v>45453</v>
      </c>
      <c r="C425" s="2" t="inlineStr">
        <is>
          <t>Haidermota &amp; Co</t>
        </is>
      </c>
      <c r="D425" s="2" t="inlineStr">
        <is>
          <t>Operations</t>
        </is>
      </c>
      <c r="E425" s="4" t="n">
        <v>312497</v>
      </c>
      <c r="F425" s="2" t="inlineStr">
        <is>
          <t>RTGS</t>
        </is>
      </c>
      <c r="G425" s="2" t="inlineStr">
        <is>
          <t>Omer Saleem (CFO)</t>
        </is>
      </c>
      <c r="H425" s="2" t="inlineStr">
        <is>
          <t>Legal Services</t>
        </is>
      </c>
      <c r="I425" s="2" t="inlineStr">
        <is>
          <t>INV-81802</t>
        </is>
      </c>
      <c r="J425" s="2" t="inlineStr">
        <is>
          <t>Recurring</t>
        </is>
      </c>
      <c r="K425" s="2" t="inlineStr">
        <is>
          <t>Pending</t>
        </is>
      </c>
      <c r="M425">
        <f>COUNTIFS($C$3:$C$500,C425,$E$3:$E$500,E425)</f>
        <v/>
      </c>
    </row>
    <row r="426">
      <c r="A426" s="5" t="inlineStr">
        <is>
          <t>TXN0424</t>
        </is>
      </c>
      <c r="B426" s="6" t="n">
        <v>45702</v>
      </c>
      <c r="C426" s="5" t="inlineStr">
        <is>
          <t>Singer Pakistan</t>
        </is>
      </c>
      <c r="D426" s="5" t="inlineStr">
        <is>
          <t>Finance &amp; Accounts</t>
        </is>
      </c>
      <c r="E426" s="7" t="n">
        <v>29447</v>
      </c>
      <c r="F426" s="5" t="inlineStr">
        <is>
          <t>Online Transfer</t>
        </is>
      </c>
      <c r="G426" s="5" t="inlineStr">
        <is>
          <t>Bilal Khan (Head Ops)</t>
        </is>
      </c>
      <c r="H426" s="5" t="inlineStr">
        <is>
          <t>Office Supplies</t>
        </is>
      </c>
      <c r="I426" s="5" t="inlineStr">
        <is>
          <t>INV-98129</t>
        </is>
      </c>
      <c r="J426" s="5" t="n"/>
      <c r="K426" s="5" t="inlineStr">
        <is>
          <t>Processed</t>
        </is>
      </c>
      <c r="M426">
        <f>COUNTIFS($C$3:$C$500,C426,$E$3:$E$500,E426)</f>
        <v/>
      </c>
    </row>
    <row r="427">
      <c r="A427" s="2" t="inlineStr">
        <is>
          <t>TXN0425</t>
        </is>
      </c>
      <c r="B427" s="3" t="n">
        <v>45670</v>
      </c>
      <c r="C427" s="2" t="inlineStr">
        <is>
          <t>Pearl Continental Karachi</t>
        </is>
      </c>
      <c r="D427" s="2" t="inlineStr">
        <is>
          <t>Compliance</t>
        </is>
      </c>
      <c r="E427" s="4" t="n">
        <v>122247</v>
      </c>
      <c r="F427" s="2" t="inlineStr">
        <is>
          <t>Online Transfer</t>
        </is>
      </c>
      <c r="G427" s="2" t="inlineStr">
        <is>
          <t>Zara Malik (CFO Office)</t>
        </is>
      </c>
      <c r="H427" s="2" t="inlineStr">
        <is>
          <t>Travel &amp; Accommodation</t>
        </is>
      </c>
      <c r="I427" s="2" t="inlineStr">
        <is>
          <t>INV-98374</t>
        </is>
      </c>
      <c r="J427" s="2" t="inlineStr">
        <is>
          <t>Urgent</t>
        </is>
      </c>
      <c r="K427" s="2" t="inlineStr">
        <is>
          <t>Processed</t>
        </is>
      </c>
      <c r="M427">
        <f>COUNTIFS($C$3:$C$500,C427,$E$3:$E$500,E427)</f>
        <v/>
      </c>
    </row>
    <row r="428">
      <c r="A428" s="5" t="inlineStr">
        <is>
          <t>TXN0426</t>
        </is>
      </c>
      <c r="B428" s="6" t="n">
        <v>45457</v>
      </c>
      <c r="C428" s="5" t="inlineStr">
        <is>
          <t>DHL Pakistan</t>
        </is>
      </c>
      <c r="D428" s="5" t="inlineStr">
        <is>
          <t>Technology</t>
        </is>
      </c>
      <c r="E428" s="7" t="n">
        <v>44848</v>
      </c>
      <c r="F428" s="5" t="inlineStr">
        <is>
          <t>Bank Transfer</t>
        </is>
      </c>
      <c r="G428" s="5" t="inlineStr">
        <is>
          <t>Usman Tariq (Finance Manager)</t>
        </is>
      </c>
      <c r="H428" s="5" t="inlineStr">
        <is>
          <t>Courier &amp; Logistics</t>
        </is>
      </c>
      <c r="I428" s="5" t="inlineStr">
        <is>
          <t>INV-36201</t>
        </is>
      </c>
      <c r="J428" s="5" t="n"/>
      <c r="K428" s="5" t="inlineStr">
        <is>
          <t>Processed</t>
        </is>
      </c>
      <c r="M428">
        <f>COUNTIFS($C$3:$C$500,C428,$E$3:$E$500,E428)</f>
        <v/>
      </c>
    </row>
    <row r="429">
      <c r="A429" s="2" t="inlineStr">
        <is>
          <t>TXN0427</t>
        </is>
      </c>
      <c r="B429" s="3" t="n">
        <v>45414</v>
      </c>
      <c r="C429" s="2" t="inlineStr">
        <is>
          <t>Meezan Bank Ltd</t>
        </is>
      </c>
      <c r="D429" s="2" t="inlineStr">
        <is>
          <t>Customer Experience</t>
        </is>
      </c>
      <c r="E429" s="4" t="n">
        <v>61087</v>
      </c>
      <c r="F429" s="2" t="inlineStr">
        <is>
          <t>RTGS</t>
        </is>
      </c>
      <c r="G429" s="2" t="inlineStr">
        <is>
          <t>Zara Malik (CFO Office)</t>
        </is>
      </c>
      <c r="H429" s="2" t="inlineStr">
        <is>
          <t>Banking Services</t>
        </is>
      </c>
      <c r="I429" s="2" t="inlineStr">
        <is>
          <t>INV-80932</t>
        </is>
      </c>
      <c r="J429" s="2" t="n"/>
      <c r="K429" s="2" t="inlineStr">
        <is>
          <t>Processed</t>
        </is>
      </c>
      <c r="M429">
        <f>COUNTIFS($C$3:$C$500,C429,$E$3:$E$500,E429)</f>
        <v/>
      </c>
    </row>
    <row r="430">
      <c r="A430" s="5" t="inlineStr">
        <is>
          <t>TXN0428</t>
        </is>
      </c>
      <c r="B430" s="6" t="n">
        <v>45714</v>
      </c>
      <c r="C430" s="5" t="inlineStr">
        <is>
          <t>Leopards Courier</t>
        </is>
      </c>
      <c r="D430" s="5" t="inlineStr">
        <is>
          <t>Technology</t>
        </is>
      </c>
      <c r="E430" s="7" t="n">
        <v>49345</v>
      </c>
      <c r="F430" s="5" t="inlineStr">
        <is>
          <t>RTGS</t>
        </is>
      </c>
      <c r="G430" s="5" t="inlineStr">
        <is>
          <t>Bilal Khan (Head Ops)</t>
        </is>
      </c>
      <c r="H430" s="5" t="inlineStr">
        <is>
          <t>Courier &amp; Logistics</t>
        </is>
      </c>
      <c r="I430" s="5" t="inlineStr">
        <is>
          <t>INV-76967</t>
        </is>
      </c>
      <c r="J430" s="5" t="n"/>
      <c r="K430" s="5" t="inlineStr">
        <is>
          <t>Processed</t>
        </is>
      </c>
      <c r="M430">
        <f>COUNTIFS($C$3:$C$500,C430,$E$3:$E$500,E430)</f>
        <v/>
      </c>
    </row>
    <row r="431">
      <c r="A431" s="2" t="inlineStr">
        <is>
          <t>TXN0429</t>
        </is>
      </c>
      <c r="B431" s="3" t="n">
        <v>45665</v>
      </c>
      <c r="C431" s="2" t="inlineStr">
        <is>
          <t>Axis Law Chambers</t>
        </is>
      </c>
      <c r="D431" s="2" t="inlineStr">
        <is>
          <t>Operations</t>
        </is>
      </c>
      <c r="E431" s="4" t="n">
        <v>374369</v>
      </c>
      <c r="F431" s="2" t="inlineStr">
        <is>
          <t>Bank Transfer</t>
        </is>
      </c>
      <c r="G431" s="2" t="inlineStr">
        <is>
          <t>Omer Saleem (CFO)</t>
        </is>
      </c>
      <c r="H431" s="2" t="inlineStr">
        <is>
          <t>Legal Services</t>
        </is>
      </c>
      <c r="I431" s="2" t="inlineStr">
        <is>
          <t>INV-42943</t>
        </is>
      </c>
      <c r="J431" s="2" t="n"/>
      <c r="K431" s="2" t="inlineStr">
        <is>
          <t>Under Review</t>
        </is>
      </c>
      <c r="M431">
        <f>COUNTIFS($C$3:$C$500,C431,$E$3:$E$500,E431)</f>
        <v/>
      </c>
    </row>
    <row r="432">
      <c r="A432" s="5" t="inlineStr">
        <is>
          <t>TXN0430</t>
        </is>
      </c>
      <c r="B432" s="6" t="n">
        <v>45691</v>
      </c>
      <c r="C432" s="5" t="inlineStr">
        <is>
          <t>Leopards Courier</t>
        </is>
      </c>
      <c r="D432" s="5" t="inlineStr">
        <is>
          <t>Finance &amp; Accounts</t>
        </is>
      </c>
      <c r="E432" s="7" t="n">
        <v>41902</v>
      </c>
      <c r="F432" s="5" t="inlineStr">
        <is>
          <t>RTGS</t>
        </is>
      </c>
      <c r="G432" s="5" t="inlineStr">
        <is>
          <t>Usman Tariq (Finance Manager)</t>
        </is>
      </c>
      <c r="H432" s="5" t="inlineStr">
        <is>
          <t>Courier &amp; Logistics</t>
        </is>
      </c>
      <c r="I432" s="5" t="inlineStr">
        <is>
          <t>INV-48558</t>
        </is>
      </c>
      <c r="J432" s="5" t="inlineStr">
        <is>
          <t>One-time</t>
        </is>
      </c>
      <c r="K432" s="5" t="inlineStr">
        <is>
          <t>Processed</t>
        </is>
      </c>
      <c r="M432">
        <f>COUNTIFS($C$3:$C$500,C432,$E$3:$E$500,E432)</f>
        <v/>
      </c>
    </row>
    <row r="433">
      <c r="A433" s="2" t="inlineStr">
        <is>
          <t>TXN0431</t>
        </is>
      </c>
      <c r="B433" s="3" t="n">
        <v>45576</v>
      </c>
      <c r="C433" s="2" t="inlineStr">
        <is>
          <t>IBM Pakistan</t>
        </is>
      </c>
      <c r="D433" s="2" t="inlineStr">
        <is>
          <t>Technology</t>
        </is>
      </c>
      <c r="E433" s="4" t="n">
        <v>311502</v>
      </c>
      <c r="F433" s="2" t="inlineStr">
        <is>
          <t>Online Transfer</t>
        </is>
      </c>
      <c r="G433" s="2" t="inlineStr">
        <is>
          <t>Omer Saleem (CFO)</t>
        </is>
      </c>
      <c r="H433" s="2" t="inlineStr">
        <is>
          <t>IT Services</t>
        </is>
      </c>
      <c r="I433" s="2" t="inlineStr">
        <is>
          <t>INV-46583</t>
        </is>
      </c>
      <c r="J433" s="2" t="inlineStr">
        <is>
          <t>Urgent</t>
        </is>
      </c>
      <c r="K433" s="2" t="inlineStr">
        <is>
          <t>Processed</t>
        </is>
      </c>
      <c r="M433">
        <f>COUNTIFS($C$3:$C$500,C433,$E$3:$E$500,E433)</f>
        <v/>
      </c>
    </row>
    <row r="434">
      <c r="A434" s="5" t="inlineStr">
        <is>
          <t>TXN0432</t>
        </is>
      </c>
      <c r="B434" s="6" t="n">
        <v>45385</v>
      </c>
      <c r="C434" s="5" t="inlineStr">
        <is>
          <t>Teradata Pakistan</t>
        </is>
      </c>
      <c r="D434" s="5" t="inlineStr">
        <is>
          <t>Technology</t>
        </is>
      </c>
      <c r="E434" s="7" t="n">
        <v>737378</v>
      </c>
      <c r="F434" s="5" t="inlineStr">
        <is>
          <t>Cheque</t>
        </is>
      </c>
      <c r="G434" s="5" t="inlineStr">
        <is>
          <t>Omer Saleem (CFO)</t>
        </is>
      </c>
      <c r="H434" s="5" t="inlineStr">
        <is>
          <t>IT Services</t>
        </is>
      </c>
      <c r="I434" s="5" t="inlineStr">
        <is>
          <t>INV-30290</t>
        </is>
      </c>
      <c r="J434" s="5" t="n"/>
      <c r="K434" s="5" t="inlineStr">
        <is>
          <t>Processed</t>
        </is>
      </c>
      <c r="M434">
        <f>COUNTIFS($C$3:$C$500,C434,$E$3:$E$500,E434)</f>
        <v/>
      </c>
    </row>
    <row r="435">
      <c r="A435" s="2" t="inlineStr">
        <is>
          <t>TXN0433</t>
        </is>
      </c>
      <c r="B435" s="3" t="n">
        <v>45664</v>
      </c>
      <c r="C435" s="2" t="inlineStr">
        <is>
          <t>Deloitte Pakistan</t>
        </is>
      </c>
      <c r="D435" s="2" t="inlineStr">
        <is>
          <t>Marketing</t>
        </is>
      </c>
      <c r="E435" s="4" t="n">
        <v>259106</v>
      </c>
      <c r="F435" s="2" t="inlineStr">
        <is>
          <t>Bank Transfer</t>
        </is>
      </c>
      <c r="G435" s="2" t="inlineStr">
        <is>
          <t>Omer Saleem (CFO)</t>
        </is>
      </c>
      <c r="H435" s="2" t="inlineStr">
        <is>
          <t>Audit &amp; Legal</t>
        </is>
      </c>
      <c r="I435" s="2" t="inlineStr">
        <is>
          <t>INV-51662</t>
        </is>
      </c>
      <c r="J435" s="2" t="inlineStr">
        <is>
          <t>Urgent</t>
        </is>
      </c>
      <c r="K435" s="2" t="inlineStr">
        <is>
          <t>Processed</t>
        </is>
      </c>
      <c r="M435">
        <f>COUNTIFS($C$3:$C$500,C435,$E$3:$E$500,E435)</f>
        <v/>
      </c>
    </row>
    <row r="436">
      <c r="A436" s="5" t="inlineStr">
        <is>
          <t>TXN0434</t>
        </is>
      </c>
      <c r="B436" s="6" t="n">
        <v>45464</v>
      </c>
      <c r="C436" s="5" t="inlineStr">
        <is>
          <t>Telenor Pakistan</t>
        </is>
      </c>
      <c r="D436" s="5" t="inlineStr">
        <is>
          <t>Compliance</t>
        </is>
      </c>
      <c r="E436" s="7" t="n">
        <v>33059</v>
      </c>
      <c r="F436" s="5" t="inlineStr">
        <is>
          <t>Online Transfer</t>
        </is>
      </c>
      <c r="G436" s="5" t="inlineStr">
        <is>
          <t>Bilal Khan (Head Ops)</t>
        </is>
      </c>
      <c r="H436" s="5" t="inlineStr">
        <is>
          <t>Telecom</t>
        </is>
      </c>
      <c r="I436" s="5" t="inlineStr">
        <is>
          <t>INV-22051</t>
        </is>
      </c>
      <c r="J436" s="5" t="inlineStr">
        <is>
          <t>Recurring</t>
        </is>
      </c>
      <c r="K436" s="5" t="inlineStr">
        <is>
          <t>Processed</t>
        </is>
      </c>
      <c r="M436">
        <f>COUNTIFS($C$3:$C$500,C436,$E$3:$E$500,E436)</f>
        <v/>
      </c>
    </row>
    <row r="437">
      <c r="A437" s="2" t="inlineStr">
        <is>
          <t>TXN0435</t>
        </is>
      </c>
      <c r="B437" s="3" t="n">
        <v>45567</v>
      </c>
      <c r="C437" s="2" t="inlineStr">
        <is>
          <t>Zong Business</t>
        </is>
      </c>
      <c r="D437" s="2" t="inlineStr">
        <is>
          <t>Customer Experience</t>
        </is>
      </c>
      <c r="E437" s="4" t="n">
        <v>64771</v>
      </c>
      <c r="F437" s="2" t="inlineStr">
        <is>
          <t>RTGS</t>
        </is>
      </c>
      <c r="G437" s="2" t="inlineStr">
        <is>
          <t>Zara Malik (CFO Office)</t>
        </is>
      </c>
      <c r="H437" s="2" t="inlineStr">
        <is>
          <t>Telecom</t>
        </is>
      </c>
      <c r="I437" s="2" t="inlineStr">
        <is>
          <t>INV-91039</t>
        </is>
      </c>
      <c r="J437" s="2" t="inlineStr">
        <is>
          <t>Urgent</t>
        </is>
      </c>
      <c r="K437" s="2" t="inlineStr">
        <is>
          <t>Processed</t>
        </is>
      </c>
      <c r="M437">
        <f>COUNTIFS($C$3:$C$500,C437,$E$3:$E$500,E437)</f>
        <v/>
      </c>
    </row>
    <row r="438">
      <c r="A438" s="5" t="inlineStr">
        <is>
          <t>TXN0436</t>
        </is>
      </c>
      <c r="B438" s="6" t="n">
        <v>45560</v>
      </c>
      <c r="C438" s="5" t="inlineStr">
        <is>
          <t>Avari Towers</t>
        </is>
      </c>
      <c r="D438" s="5" t="inlineStr">
        <is>
          <t>Customer Experience</t>
        </is>
      </c>
      <c r="E438" s="7" t="n">
        <v>40033</v>
      </c>
      <c r="F438" s="5" t="inlineStr">
        <is>
          <t>RTGS</t>
        </is>
      </c>
      <c r="G438" s="5" t="inlineStr">
        <is>
          <t>Bilal Khan (Head Ops)</t>
        </is>
      </c>
      <c r="H438" s="5" t="inlineStr">
        <is>
          <t>Travel &amp; Accommodation</t>
        </is>
      </c>
      <c r="I438" s="5" t="inlineStr">
        <is>
          <t>INV-94182</t>
        </is>
      </c>
      <c r="J438" s="5" t="n"/>
      <c r="K438" s="5" t="inlineStr">
        <is>
          <t>Processed</t>
        </is>
      </c>
      <c r="M438">
        <f>COUNTIFS($C$3:$C$500,C438,$E$3:$E$500,E438)</f>
        <v/>
      </c>
    </row>
    <row r="439">
      <c r="A439" s="2" t="inlineStr">
        <is>
          <t>TXN0437</t>
        </is>
      </c>
      <c r="B439" s="3" t="n">
        <v>45659</v>
      </c>
      <c r="C439" s="2" t="inlineStr">
        <is>
          <t>Deloitte Pakistan</t>
        </is>
      </c>
      <c r="D439" s="2" t="inlineStr">
        <is>
          <t>Operations</t>
        </is>
      </c>
      <c r="E439" s="4" t="n">
        <v>326050</v>
      </c>
      <c r="F439" s="2" t="inlineStr">
        <is>
          <t>Bank Transfer</t>
        </is>
      </c>
      <c r="G439" s="2" t="inlineStr">
        <is>
          <t>Omer Saleem (CFO)</t>
        </is>
      </c>
      <c r="H439" s="2" t="inlineStr">
        <is>
          <t>Audit &amp; Legal</t>
        </is>
      </c>
      <c r="I439" s="2" t="inlineStr">
        <is>
          <t>INV-77746</t>
        </is>
      </c>
      <c r="J439" s="2" t="inlineStr">
        <is>
          <t>Recurring</t>
        </is>
      </c>
      <c r="K439" s="2" t="inlineStr">
        <is>
          <t>Pending</t>
        </is>
      </c>
      <c r="M439">
        <f>COUNTIFS($C$3:$C$500,C439,$E$3:$E$500,E439)</f>
        <v/>
      </c>
    </row>
    <row r="440">
      <c r="A440" s="5" t="inlineStr">
        <is>
          <t>TXN0438</t>
        </is>
      </c>
      <c r="B440" s="6" t="n">
        <v>45534</v>
      </c>
      <c r="C440" s="5" t="inlineStr">
        <is>
          <t>Pearl Continental Karachi</t>
        </is>
      </c>
      <c r="D440" s="5" t="inlineStr">
        <is>
          <t>HR &amp; Admin</t>
        </is>
      </c>
      <c r="E440" s="7" t="n">
        <v>164177</v>
      </c>
      <c r="F440" s="5" t="inlineStr">
        <is>
          <t>Online Transfer</t>
        </is>
      </c>
      <c r="G440" s="5" t="inlineStr">
        <is>
          <t>Sara Ahmed (VP Finance)</t>
        </is>
      </c>
      <c r="H440" s="5" t="inlineStr">
        <is>
          <t>Travel &amp; Accommodation</t>
        </is>
      </c>
      <c r="I440" s="5" t="inlineStr">
        <is>
          <t>INV-77357</t>
        </is>
      </c>
      <c r="J440" s="5" t="n"/>
      <c r="K440" s="5" t="inlineStr">
        <is>
          <t>Processed</t>
        </is>
      </c>
      <c r="M440">
        <f>COUNTIFS($C$3:$C$500,C440,$E$3:$E$500,E440)</f>
        <v/>
      </c>
    </row>
    <row r="441">
      <c r="A441" s="2" t="inlineStr">
        <is>
          <t>TXN0439</t>
        </is>
      </c>
      <c r="B441" s="3" t="n">
        <v>45490</v>
      </c>
      <c r="C441" s="2" t="inlineStr">
        <is>
          <t>Mobilink (Jazz)</t>
        </is>
      </c>
      <c r="D441" s="2" t="inlineStr">
        <is>
          <t>Compliance</t>
        </is>
      </c>
      <c r="E441" s="4" t="n">
        <v>85855</v>
      </c>
      <c r="F441" s="2" t="inlineStr">
        <is>
          <t>Online Transfer</t>
        </is>
      </c>
      <c r="G441" s="2" t="inlineStr">
        <is>
          <t>Sara Ahmed (VP Finance)</t>
        </is>
      </c>
      <c r="H441" s="2" t="inlineStr">
        <is>
          <t>Telecom</t>
        </is>
      </c>
      <c r="I441" s="2" t="inlineStr">
        <is>
          <t>INV-23621</t>
        </is>
      </c>
      <c r="J441" s="2" t="n"/>
      <c r="K441" s="2" t="inlineStr">
        <is>
          <t>Pending</t>
        </is>
      </c>
      <c r="M441">
        <f>COUNTIFS($C$3:$C$500,C441,$E$3:$E$500,E441)</f>
        <v/>
      </c>
    </row>
    <row r="442">
      <c r="A442" s="5" t="inlineStr">
        <is>
          <t>TXN0440</t>
        </is>
      </c>
      <c r="B442" s="6" t="n">
        <v>45618</v>
      </c>
      <c r="C442" s="5" t="inlineStr">
        <is>
          <t>DHL Pakistan</t>
        </is>
      </c>
      <c r="D442" s="5" t="inlineStr">
        <is>
          <t>Customer Experience</t>
        </is>
      </c>
      <c r="E442" s="7" t="n">
        <v>16092</v>
      </c>
      <c r="F442" s="5" t="inlineStr">
        <is>
          <t>Bank Transfer</t>
        </is>
      </c>
      <c r="G442" s="5" t="inlineStr">
        <is>
          <t>Bilal Khan (Head Ops)</t>
        </is>
      </c>
      <c r="H442" s="5" t="inlineStr">
        <is>
          <t>Courier &amp; Logistics</t>
        </is>
      </c>
      <c r="I442" s="5" t="inlineStr">
        <is>
          <t>INV-21471</t>
        </is>
      </c>
      <c r="J442" s="5" t="n"/>
      <c r="K442" s="5" t="inlineStr">
        <is>
          <t>Processed</t>
        </is>
      </c>
      <c r="M442">
        <f>COUNTIFS($C$3:$C$500,C442,$E$3:$E$500,E442)</f>
        <v/>
      </c>
    </row>
    <row r="443">
      <c r="A443" s="2" t="inlineStr">
        <is>
          <t>TXN0441</t>
        </is>
      </c>
      <c r="B443" s="3" t="n">
        <v>45581</v>
      </c>
      <c r="C443" s="2" t="inlineStr">
        <is>
          <t>Telenor Pakistan</t>
        </is>
      </c>
      <c r="D443" s="2" t="inlineStr">
        <is>
          <t>Finance &amp; Accounts</t>
        </is>
      </c>
      <c r="E443" s="4" t="n">
        <v>28808</v>
      </c>
      <c r="F443" s="2" t="inlineStr">
        <is>
          <t>Online Transfer</t>
        </is>
      </c>
      <c r="G443" s="2" t="inlineStr">
        <is>
          <t>Bilal Khan (Head Ops)</t>
        </is>
      </c>
      <c r="H443" s="2" t="inlineStr">
        <is>
          <t>Telecom</t>
        </is>
      </c>
      <c r="I443" s="2" t="inlineStr">
        <is>
          <t>INV-66757</t>
        </is>
      </c>
      <c r="J443" s="2" t="inlineStr">
        <is>
          <t>Recurring</t>
        </is>
      </c>
      <c r="K443" s="2" t="inlineStr">
        <is>
          <t>Processed</t>
        </is>
      </c>
      <c r="M443">
        <f>COUNTIFS($C$3:$C$500,C443,$E$3:$E$500,E443)</f>
        <v/>
      </c>
    </row>
    <row r="444">
      <c r="A444" s="5" t="inlineStr">
        <is>
          <t>TXN0442</t>
        </is>
      </c>
      <c r="B444" s="6" t="n">
        <v>45386</v>
      </c>
      <c r="C444" s="5" t="inlineStr">
        <is>
          <t>Axis Law Chambers</t>
        </is>
      </c>
      <c r="D444" s="5" t="inlineStr">
        <is>
          <t>Customer Experience</t>
        </is>
      </c>
      <c r="E444" s="7" t="n">
        <v>221635</v>
      </c>
      <c r="F444" s="5" t="inlineStr">
        <is>
          <t>Bank Transfer</t>
        </is>
      </c>
      <c r="G444" s="5" t="inlineStr">
        <is>
          <t>Omer Saleem (CFO)</t>
        </is>
      </c>
      <c r="H444" s="5" t="inlineStr">
        <is>
          <t>Legal Services</t>
        </is>
      </c>
      <c r="I444" s="5" t="inlineStr">
        <is>
          <t>INV-19514</t>
        </is>
      </c>
      <c r="J444" s="5" t="inlineStr">
        <is>
          <t>Recurring</t>
        </is>
      </c>
      <c r="K444" s="5" t="inlineStr">
        <is>
          <t>Pending</t>
        </is>
      </c>
      <c r="M444">
        <f>COUNTIFS($C$3:$C$500,C444,$E$3:$E$500,E444)</f>
        <v/>
      </c>
    </row>
    <row r="445">
      <c r="A445" s="2" t="inlineStr">
        <is>
          <t>TXN0443</t>
        </is>
      </c>
      <c r="B445" s="3" t="n">
        <v>45693</v>
      </c>
      <c r="C445" s="2" t="inlineStr">
        <is>
          <t>Microsoft Pakistan</t>
        </is>
      </c>
      <c r="D445" s="2" t="inlineStr">
        <is>
          <t>Finance &amp; Accounts</t>
        </is>
      </c>
      <c r="E445" s="4" t="n">
        <v>874979</v>
      </c>
      <c r="F445" s="2" t="inlineStr">
        <is>
          <t>RTGS</t>
        </is>
      </c>
      <c r="G445" s="2" t="inlineStr">
        <is>
          <t>Omer Saleem (CFO)</t>
        </is>
      </c>
      <c r="H445" s="2" t="inlineStr">
        <is>
          <t>Software License</t>
        </is>
      </c>
      <c r="I445" s="2" t="inlineStr">
        <is>
          <t>INV-67367</t>
        </is>
      </c>
      <c r="J445" s="2" t="inlineStr">
        <is>
          <t>Pre-approved</t>
        </is>
      </c>
      <c r="K445" s="2" t="inlineStr">
        <is>
          <t>Processed</t>
        </is>
      </c>
      <c r="M445">
        <f>COUNTIFS($C$3:$C$500,C445,$E$3:$E$500,E445)</f>
        <v/>
      </c>
    </row>
    <row r="446">
      <c r="A446" s="5" t="inlineStr">
        <is>
          <t>TXN0444</t>
        </is>
      </c>
      <c r="B446" s="6" t="n">
        <v>45656</v>
      </c>
      <c r="C446" s="5" t="inlineStr">
        <is>
          <t>Nestle Pakistan</t>
        </is>
      </c>
      <c r="D446" s="5" t="inlineStr">
        <is>
          <t>Technology</t>
        </is>
      </c>
      <c r="E446" s="7" t="n">
        <v>46471</v>
      </c>
      <c r="F446" s="5" t="inlineStr">
        <is>
          <t>Bank Transfer</t>
        </is>
      </c>
      <c r="G446" s="5" t="inlineStr">
        <is>
          <t>Usman Tariq (Finance Manager)</t>
        </is>
      </c>
      <c r="H446" s="5" t="inlineStr">
        <is>
          <t>Office Supplies</t>
        </is>
      </c>
      <c r="I446" s="5" t="inlineStr">
        <is>
          <t>INV-61248</t>
        </is>
      </c>
      <c r="J446" s="5" t="inlineStr">
        <is>
          <t>Urgent</t>
        </is>
      </c>
      <c r="K446" s="5" t="inlineStr">
        <is>
          <t>Processed</t>
        </is>
      </c>
      <c r="M446">
        <f>COUNTIFS($C$3:$C$500,C446,$E$3:$E$500,E446)</f>
        <v/>
      </c>
    </row>
    <row r="447">
      <c r="A447" s="2" t="inlineStr">
        <is>
          <t>TXN0445</t>
        </is>
      </c>
      <c r="B447" s="3" t="n">
        <v>45666</v>
      </c>
      <c r="C447" s="2" t="inlineStr">
        <is>
          <t>Singer Pakistan</t>
        </is>
      </c>
      <c r="D447" s="2" t="inlineStr">
        <is>
          <t>Technology</t>
        </is>
      </c>
      <c r="E447" s="4" t="n">
        <v>38493</v>
      </c>
      <c r="F447" s="2" t="inlineStr">
        <is>
          <t>Bank Transfer</t>
        </is>
      </c>
      <c r="G447" s="2" t="inlineStr">
        <is>
          <t>Usman Tariq (Finance Manager)</t>
        </is>
      </c>
      <c r="H447" s="2" t="inlineStr">
        <is>
          <t>Office Supplies</t>
        </is>
      </c>
      <c r="I447" s="2" t="inlineStr">
        <is>
          <t>INV-15475</t>
        </is>
      </c>
      <c r="J447" s="2" t="n"/>
      <c r="K447" s="2" t="inlineStr">
        <is>
          <t>Under Review</t>
        </is>
      </c>
      <c r="M447">
        <f>COUNTIFS($C$3:$C$500,C447,$E$3:$E$500,E447)</f>
        <v/>
      </c>
    </row>
    <row r="448">
      <c r="A448" s="5" t="inlineStr">
        <is>
          <t>TXN0446</t>
        </is>
      </c>
      <c r="B448" s="6" t="n">
        <v>45426</v>
      </c>
      <c r="C448" s="5" t="inlineStr">
        <is>
          <t>Hafeez Centre Dealers</t>
        </is>
      </c>
      <c r="D448" s="5" t="inlineStr">
        <is>
          <t>Operations</t>
        </is>
      </c>
      <c r="E448" s="7" t="n">
        <v>653061</v>
      </c>
      <c r="F448" s="5" t="inlineStr">
        <is>
          <t>RTGS</t>
        </is>
      </c>
      <c r="G448" s="5" t="inlineStr">
        <is>
          <t>Omer Saleem (CFO)</t>
        </is>
      </c>
      <c r="H448" s="5" t="inlineStr">
        <is>
          <t>Hardware</t>
        </is>
      </c>
      <c r="I448" s="5" t="inlineStr">
        <is>
          <t>INV-55069</t>
        </is>
      </c>
      <c r="J448" s="5" t="n"/>
      <c r="K448" s="5" t="inlineStr">
        <is>
          <t>Processed</t>
        </is>
      </c>
      <c r="M448">
        <f>COUNTIFS($C$3:$C$500,C448,$E$3:$E$500,E448)</f>
        <v/>
      </c>
    </row>
    <row r="449">
      <c r="A449" s="2" t="inlineStr">
        <is>
          <t>TXN0447</t>
        </is>
      </c>
      <c r="B449" s="3" t="n">
        <v>45477</v>
      </c>
      <c r="C449" s="2" t="inlineStr">
        <is>
          <t>Punjab Beverages</t>
        </is>
      </c>
      <c r="D449" s="2" t="inlineStr">
        <is>
          <t>Compliance</t>
        </is>
      </c>
      <c r="E449" s="4" t="n">
        <v>24819</v>
      </c>
      <c r="F449" s="2" t="inlineStr">
        <is>
          <t>RTGS</t>
        </is>
      </c>
      <c r="G449" s="2" t="inlineStr">
        <is>
          <t>Usman Tariq (Finance Manager)</t>
        </is>
      </c>
      <c r="H449" s="2" t="inlineStr">
        <is>
          <t>Office Supplies</t>
        </is>
      </c>
      <c r="I449" s="2" t="inlineStr">
        <is>
          <t>INV-35470</t>
        </is>
      </c>
      <c r="J449" s="2" t="n"/>
      <c r="K449" s="2" t="inlineStr">
        <is>
          <t>Processed</t>
        </is>
      </c>
      <c r="M449">
        <f>COUNTIFS($C$3:$C$500,C449,$E$3:$E$500,E449)</f>
        <v/>
      </c>
    </row>
    <row r="450">
      <c r="A450" s="5" t="inlineStr">
        <is>
          <t>TXN0448</t>
        </is>
      </c>
      <c r="B450" s="6" t="n">
        <v>45713</v>
      </c>
      <c r="C450" s="5" t="inlineStr">
        <is>
          <t>Nestle Pakistan</t>
        </is>
      </c>
      <c r="D450" s="5" t="inlineStr">
        <is>
          <t>Marketing</t>
        </is>
      </c>
      <c r="E450" s="7" t="n">
        <v>25403</v>
      </c>
      <c r="F450" s="5" t="inlineStr">
        <is>
          <t>RTGS</t>
        </is>
      </c>
      <c r="G450" s="5" t="inlineStr">
        <is>
          <t>Usman Tariq (Finance Manager)</t>
        </is>
      </c>
      <c r="H450" s="5" t="inlineStr">
        <is>
          <t>Office Supplies</t>
        </is>
      </c>
      <c r="I450" s="5" t="inlineStr">
        <is>
          <t>INV-98039</t>
        </is>
      </c>
      <c r="J450" s="5" t="n"/>
      <c r="K450" s="5" t="inlineStr">
        <is>
          <t>Processed</t>
        </is>
      </c>
      <c r="M450">
        <f>COUNTIFS($C$3:$C$500,C450,$E$3:$E$500,E450)</f>
        <v/>
      </c>
    </row>
    <row r="451">
      <c r="A451" s="2" t="inlineStr">
        <is>
          <t>TXN0449</t>
        </is>
      </c>
      <c r="B451" s="3" t="n">
        <v>45552</v>
      </c>
      <c r="C451" s="2" t="inlineStr">
        <is>
          <t>Microsoft Pakistan</t>
        </is>
      </c>
      <c r="D451" s="2" t="inlineStr">
        <is>
          <t>Finance &amp; Accounts</t>
        </is>
      </c>
      <c r="E451" s="4" t="n">
        <v>767627</v>
      </c>
      <c r="F451" s="2" t="inlineStr">
        <is>
          <t>Bank Transfer</t>
        </is>
      </c>
      <c r="G451" s="2" t="inlineStr">
        <is>
          <t>Omer Saleem (CFO)</t>
        </is>
      </c>
      <c r="H451" s="2" t="inlineStr">
        <is>
          <t>Software License</t>
        </is>
      </c>
      <c r="I451" s="2" t="inlineStr">
        <is>
          <t>INV-97988</t>
        </is>
      </c>
      <c r="J451" s="2" t="n"/>
      <c r="K451" s="2" t="inlineStr">
        <is>
          <t>Processed</t>
        </is>
      </c>
      <c r="M451">
        <f>COUNTIFS($C$3:$C$500,C451,$E$3:$E$500,E451)</f>
        <v/>
      </c>
    </row>
    <row r="452">
      <c r="A452" s="5" t="inlineStr">
        <is>
          <t>TXN0450</t>
        </is>
      </c>
      <c r="B452" s="6" t="n">
        <v>45545</v>
      </c>
      <c r="C452" s="5" t="inlineStr">
        <is>
          <t>Meezan Bank Ltd</t>
        </is>
      </c>
      <c r="D452" s="5" t="inlineStr">
        <is>
          <t>Marketing</t>
        </is>
      </c>
      <c r="E452" s="7" t="n">
        <v>38166</v>
      </c>
      <c r="F452" s="5" t="inlineStr">
        <is>
          <t>Cheque</t>
        </is>
      </c>
      <c r="G452" s="5" t="inlineStr">
        <is>
          <t>Bilal Khan (Head Ops)</t>
        </is>
      </c>
      <c r="H452" s="5" t="inlineStr">
        <is>
          <t>Banking Services</t>
        </is>
      </c>
      <c r="I452" s="5" t="inlineStr">
        <is>
          <t>INV-53036</t>
        </is>
      </c>
      <c r="J452" s="5" t="n"/>
      <c r="K452" s="5" t="inlineStr">
        <is>
          <t>Under Review</t>
        </is>
      </c>
      <c r="M452">
        <f>COUNTIFS($C$3:$C$500,C452,$E$3:$E$500,E452)</f>
        <v/>
      </c>
    </row>
    <row r="453">
      <c r="A453" s="2" t="inlineStr">
        <is>
          <t>TXN0451</t>
        </is>
      </c>
      <c r="B453" s="3" t="n">
        <v>45544</v>
      </c>
      <c r="C453" s="2" t="inlineStr">
        <is>
          <t>Zones Pakistan Pvt Ltd</t>
        </is>
      </c>
      <c r="D453" s="2" t="inlineStr">
        <is>
          <t>Marketing</t>
        </is>
      </c>
      <c r="E453" s="4" t="n">
        <v>681215</v>
      </c>
      <c r="F453" s="2" t="inlineStr">
        <is>
          <t>Bank Transfer</t>
        </is>
      </c>
      <c r="G453" s="2" t="inlineStr">
        <is>
          <t>Omer Saleem (CFO)</t>
        </is>
      </c>
      <c r="H453" s="2" t="inlineStr">
        <is>
          <t>Hardware</t>
        </is>
      </c>
      <c r="I453" s="2" t="inlineStr">
        <is>
          <t>INV-10633</t>
        </is>
      </c>
      <c r="J453" s="2" t="inlineStr">
        <is>
          <t>Recurring</t>
        </is>
      </c>
      <c r="K453" s="2" t="inlineStr">
        <is>
          <t>Processed</t>
        </is>
      </c>
      <c r="M453">
        <f>COUNTIFS($C$3:$C$500,C453,$E$3:$E$500,E453)</f>
        <v/>
      </c>
    </row>
    <row r="454">
      <c r="A454" s="5" t="inlineStr">
        <is>
          <t>TXN0452</t>
        </is>
      </c>
      <c r="B454" s="6" t="n">
        <v>45567</v>
      </c>
      <c r="C454" s="5" t="inlineStr">
        <is>
          <t>Ufone Corporate</t>
        </is>
      </c>
      <c r="D454" s="5" t="inlineStr">
        <is>
          <t>Risk Management</t>
        </is>
      </c>
      <c r="E454" s="7" t="n">
        <v>77543</v>
      </c>
      <c r="F454" s="5" t="inlineStr">
        <is>
          <t>Online Transfer</t>
        </is>
      </c>
      <c r="G454" s="5" t="inlineStr">
        <is>
          <t>Sara Ahmed (VP Finance)</t>
        </is>
      </c>
      <c r="H454" s="5" t="inlineStr">
        <is>
          <t>Telecom</t>
        </is>
      </c>
      <c r="I454" s="5" t="inlineStr">
        <is>
          <t>INV-72908</t>
        </is>
      </c>
      <c r="J454" s="5" t="inlineStr">
        <is>
          <t>One-time</t>
        </is>
      </c>
      <c r="K454" s="5" t="inlineStr">
        <is>
          <t>Processed</t>
        </is>
      </c>
      <c r="M454">
        <f>COUNTIFS($C$3:$C$500,C454,$E$3:$E$500,E454)</f>
        <v/>
      </c>
    </row>
    <row r="455">
      <c r="A455" s="2" t="inlineStr">
        <is>
          <t>TXN0453</t>
        </is>
      </c>
      <c r="B455" s="3" t="n">
        <v>45713</v>
      </c>
      <c r="C455" s="2" t="inlineStr">
        <is>
          <t>EY Pakistan</t>
        </is>
      </c>
      <c r="D455" s="2" t="inlineStr">
        <is>
          <t>Finance &amp; Accounts</t>
        </is>
      </c>
      <c r="E455" s="4" t="n">
        <v>713256</v>
      </c>
      <c r="F455" s="2" t="inlineStr">
        <is>
          <t>RTGS</t>
        </is>
      </c>
      <c r="G455" s="2" t="inlineStr">
        <is>
          <t>Omer Saleem (CFO)</t>
        </is>
      </c>
      <c r="H455" s="2" t="inlineStr">
        <is>
          <t>Audit &amp; Legal</t>
        </is>
      </c>
      <c r="I455" s="2" t="inlineStr">
        <is>
          <t>INV-28350</t>
        </is>
      </c>
      <c r="J455" s="2" t="inlineStr">
        <is>
          <t>Urgent</t>
        </is>
      </c>
      <c r="K455" s="2" t="inlineStr">
        <is>
          <t>Processed</t>
        </is>
      </c>
      <c r="M455">
        <f>COUNTIFS($C$3:$C$500,C455,$E$3:$E$500,E455)</f>
        <v/>
      </c>
    </row>
    <row r="456">
      <c r="A456" s="5" t="inlineStr">
        <is>
          <t>TXN0454</t>
        </is>
      </c>
      <c r="B456" s="6" t="n">
        <v>45421</v>
      </c>
      <c r="C456" s="5" t="inlineStr">
        <is>
          <t>MCB Bank Ltd</t>
        </is>
      </c>
      <c r="D456" s="5" t="inlineStr">
        <is>
          <t>Risk Management</t>
        </is>
      </c>
      <c r="E456" s="7" t="n">
        <v>109231</v>
      </c>
      <c r="F456" s="5" t="inlineStr">
        <is>
          <t>Bank Transfer</t>
        </is>
      </c>
      <c r="G456" s="5" t="inlineStr">
        <is>
          <t>Sara Ahmed (VP Finance)</t>
        </is>
      </c>
      <c r="H456" s="5" t="inlineStr">
        <is>
          <t>Banking Services</t>
        </is>
      </c>
      <c r="I456" s="5" t="inlineStr">
        <is>
          <t>INV-86269</t>
        </is>
      </c>
      <c r="J456" s="5" t="inlineStr">
        <is>
          <t>Pre-approved</t>
        </is>
      </c>
      <c r="K456" s="5" t="inlineStr">
        <is>
          <t>Under Review</t>
        </is>
      </c>
      <c r="M456">
        <f>COUNTIFS($C$3:$C$500,C456,$E$3:$E$500,E456)</f>
        <v/>
      </c>
    </row>
    <row r="457">
      <c r="A457" s="2" t="inlineStr">
        <is>
          <t>TXN0455</t>
        </is>
      </c>
      <c r="B457" s="3" t="n">
        <v>45659</v>
      </c>
      <c r="C457" s="2" t="inlineStr">
        <is>
          <t>Zong Business</t>
        </is>
      </c>
      <c r="D457" s="2" t="inlineStr">
        <is>
          <t>Technology</t>
        </is>
      </c>
      <c r="E457" s="4" t="n">
        <v>58910</v>
      </c>
      <c r="F457" s="2" t="inlineStr">
        <is>
          <t>Bank Transfer</t>
        </is>
      </c>
      <c r="G457" s="2" t="inlineStr">
        <is>
          <t>Zara Malik (CFO Office)</t>
        </is>
      </c>
      <c r="H457" s="2" t="inlineStr">
        <is>
          <t>Telecom</t>
        </is>
      </c>
      <c r="I457" s="2" t="inlineStr">
        <is>
          <t>INV-57948</t>
        </is>
      </c>
      <c r="J457" s="2" t="inlineStr">
        <is>
          <t>Pre-approved</t>
        </is>
      </c>
      <c r="K457" s="2" t="inlineStr">
        <is>
          <t>Processed</t>
        </is>
      </c>
      <c r="M457">
        <f>COUNTIFS($C$3:$C$500,C457,$E$3:$E$500,E457)</f>
        <v/>
      </c>
    </row>
    <row r="458">
      <c r="A458" s="5" t="inlineStr">
        <is>
          <t>TXN0456</t>
        </is>
      </c>
      <c r="B458" s="6" t="n">
        <v>45639</v>
      </c>
      <c r="C458" s="5" t="inlineStr">
        <is>
          <t>Metro Cash &amp; Carry</t>
        </is>
      </c>
      <c r="D458" s="5" t="inlineStr">
        <is>
          <t>Risk Management</t>
        </is>
      </c>
      <c r="E458" s="7" t="n">
        <v>34110</v>
      </c>
      <c r="F458" s="5" t="inlineStr">
        <is>
          <t>Online Transfer</t>
        </is>
      </c>
      <c r="G458" s="5" t="inlineStr">
        <is>
          <t>Usman Tariq (Finance Manager)</t>
        </is>
      </c>
      <c r="H458" s="5" t="inlineStr">
        <is>
          <t>Office Supplies</t>
        </is>
      </c>
      <c r="I458" s="5" t="inlineStr">
        <is>
          <t>INV-57692</t>
        </is>
      </c>
      <c r="J458" s="5" t="inlineStr">
        <is>
          <t>Urgent</t>
        </is>
      </c>
      <c r="K458" s="5" t="inlineStr">
        <is>
          <t>Processed</t>
        </is>
      </c>
      <c r="M458">
        <f>COUNTIFS($C$3:$C$500,C458,$E$3:$E$500,E458)</f>
        <v/>
      </c>
    </row>
    <row r="459">
      <c r="A459" s="2" t="inlineStr">
        <is>
          <t>TXN0457</t>
        </is>
      </c>
      <c r="B459" s="3" t="n">
        <v>45646</v>
      </c>
      <c r="C459" s="2" t="inlineStr">
        <is>
          <t>Nestle Pakistan</t>
        </is>
      </c>
      <c r="D459" s="2" t="inlineStr">
        <is>
          <t>Finance &amp; Accounts</t>
        </is>
      </c>
      <c r="E459" s="4" t="n">
        <v>68421</v>
      </c>
      <c r="F459" s="2" t="inlineStr">
        <is>
          <t>Cheque</t>
        </is>
      </c>
      <c r="G459" s="2" t="inlineStr">
        <is>
          <t>Sara Ahmed (VP Finance)</t>
        </is>
      </c>
      <c r="H459" s="2" t="inlineStr">
        <is>
          <t>Office Supplies</t>
        </is>
      </c>
      <c r="I459" s="2" t="inlineStr">
        <is>
          <t>INV-30869</t>
        </is>
      </c>
      <c r="J459" s="2" t="n"/>
      <c r="K459" s="2" t="inlineStr">
        <is>
          <t>Under Review</t>
        </is>
      </c>
      <c r="M459">
        <f>COUNTIFS($C$3:$C$500,C459,$E$3:$E$500,E459)</f>
        <v/>
      </c>
    </row>
    <row r="460">
      <c r="A460" s="5" t="inlineStr">
        <is>
          <t>TXN0458</t>
        </is>
      </c>
      <c r="B460" s="6" t="n">
        <v>45566</v>
      </c>
      <c r="C460" s="5" t="inlineStr">
        <is>
          <t>Al-Fatah Electronics</t>
        </is>
      </c>
      <c r="D460" s="5" t="inlineStr">
        <is>
          <t>Customer Experience</t>
        </is>
      </c>
      <c r="E460" s="7" t="n">
        <v>30349</v>
      </c>
      <c r="F460" s="5" t="inlineStr">
        <is>
          <t>RTGS</t>
        </is>
      </c>
      <c r="G460" s="5" t="inlineStr">
        <is>
          <t>Usman Tariq (Finance Manager)</t>
        </is>
      </c>
      <c r="H460" s="5" t="inlineStr">
        <is>
          <t>Office Supplies</t>
        </is>
      </c>
      <c r="I460" s="5" t="inlineStr">
        <is>
          <t>INV-73916</t>
        </is>
      </c>
      <c r="J460" s="5" t="n"/>
      <c r="K460" s="5" t="inlineStr">
        <is>
          <t>Processed</t>
        </is>
      </c>
      <c r="M460">
        <f>COUNTIFS($C$3:$C$500,C460,$E$3:$E$500,E460)</f>
        <v/>
      </c>
    </row>
    <row r="461">
      <c r="A461" s="2" t="inlineStr">
        <is>
          <t>TXN0459</t>
        </is>
      </c>
      <c r="B461" s="3" t="n">
        <v>45488</v>
      </c>
      <c r="C461" s="2" t="inlineStr">
        <is>
          <t>MCB Bank Ltd</t>
        </is>
      </c>
      <c r="D461" s="2" t="inlineStr">
        <is>
          <t>Operations</t>
        </is>
      </c>
      <c r="E461" s="4" t="n">
        <v>57221</v>
      </c>
      <c r="F461" s="2" t="inlineStr">
        <is>
          <t>Online Transfer</t>
        </is>
      </c>
      <c r="G461" s="2" t="inlineStr">
        <is>
          <t>Zara Malik (CFO Office)</t>
        </is>
      </c>
      <c r="H461" s="2" t="inlineStr">
        <is>
          <t>Banking Services</t>
        </is>
      </c>
      <c r="I461" s="2" t="inlineStr">
        <is>
          <t>INV-71561</t>
        </is>
      </c>
      <c r="J461" s="2" t="inlineStr">
        <is>
          <t>One-time</t>
        </is>
      </c>
      <c r="K461" s="2" t="inlineStr">
        <is>
          <t>Processed</t>
        </is>
      </c>
      <c r="M461">
        <f>COUNTIFS($C$3:$C$500,C461,$E$3:$E$500,E461)</f>
        <v/>
      </c>
    </row>
    <row r="462">
      <c r="A462" s="5" t="inlineStr">
        <is>
          <t>TXN0460</t>
        </is>
      </c>
      <c r="B462" s="6" t="n">
        <v>45743</v>
      </c>
      <c r="C462" s="5" t="inlineStr">
        <is>
          <t>TechAccess Pakistan</t>
        </is>
      </c>
      <c r="D462" s="5" t="inlineStr">
        <is>
          <t>Customer Experience</t>
        </is>
      </c>
      <c r="E462" s="7" t="n">
        <v>422351</v>
      </c>
      <c r="F462" s="5" t="inlineStr">
        <is>
          <t>RTGS</t>
        </is>
      </c>
      <c r="G462" s="5" t="inlineStr">
        <is>
          <t>Omer Saleem (CFO)</t>
        </is>
      </c>
      <c r="H462" s="5" t="inlineStr">
        <is>
          <t>Hardware</t>
        </is>
      </c>
      <c r="I462" s="5" t="inlineStr">
        <is>
          <t>INV-85842</t>
        </is>
      </c>
      <c r="J462" s="5" t="inlineStr">
        <is>
          <t>Urgent</t>
        </is>
      </c>
      <c r="K462" s="5" t="inlineStr">
        <is>
          <t>Under Review</t>
        </is>
      </c>
      <c r="M462">
        <f>COUNTIFS($C$3:$C$500,C462,$E$3:$E$500,E462)</f>
        <v/>
      </c>
    </row>
    <row r="463">
      <c r="A463" s="2" t="inlineStr">
        <is>
          <t>TXN0461</t>
        </is>
      </c>
      <c r="B463" s="3" t="n">
        <v>45422</v>
      </c>
      <c r="C463" s="2" t="inlineStr">
        <is>
          <t>Telenor Pakistan</t>
        </is>
      </c>
      <c r="D463" s="2" t="inlineStr">
        <is>
          <t>Operations</t>
        </is>
      </c>
      <c r="E463" s="4" t="n">
        <v>71445</v>
      </c>
      <c r="F463" s="2" t="inlineStr">
        <is>
          <t>Online Transfer</t>
        </is>
      </c>
      <c r="G463" s="2" t="inlineStr">
        <is>
          <t>Zara Malik (CFO Office)</t>
        </is>
      </c>
      <c r="H463" s="2" t="inlineStr">
        <is>
          <t>Telecom</t>
        </is>
      </c>
      <c r="I463" s="2" t="inlineStr">
        <is>
          <t>INV-39215</t>
        </is>
      </c>
      <c r="J463" s="2" t="inlineStr">
        <is>
          <t>Urgent</t>
        </is>
      </c>
      <c r="K463" s="2" t="inlineStr">
        <is>
          <t>Processed</t>
        </is>
      </c>
      <c r="M463">
        <f>COUNTIFS($C$3:$C$500,C463,$E$3:$E$500,E463)</f>
        <v/>
      </c>
    </row>
    <row r="464">
      <c r="A464" s="5" t="inlineStr">
        <is>
          <t>TXN0462</t>
        </is>
      </c>
      <c r="B464" s="6" t="n">
        <v>45692</v>
      </c>
      <c r="C464" s="5" t="inlineStr">
        <is>
          <t>EY Pakistan</t>
        </is>
      </c>
      <c r="D464" s="5" t="inlineStr">
        <is>
          <t>Operations</t>
        </is>
      </c>
      <c r="E464" s="7" t="n">
        <v>719256</v>
      </c>
      <c r="F464" s="5" t="inlineStr">
        <is>
          <t>Bank Transfer</t>
        </is>
      </c>
      <c r="G464" s="5" t="inlineStr">
        <is>
          <t>Omer Saleem (CFO)</t>
        </is>
      </c>
      <c r="H464" s="5" t="inlineStr">
        <is>
          <t>Audit &amp; Legal</t>
        </is>
      </c>
      <c r="I464" s="5" t="inlineStr">
        <is>
          <t>INV-67658</t>
        </is>
      </c>
      <c r="J464" s="5" t="n"/>
      <c r="K464" s="5" t="inlineStr">
        <is>
          <t>Processed</t>
        </is>
      </c>
      <c r="M464">
        <f>COUNTIFS($C$3:$C$500,C464,$E$3:$E$500,E464)</f>
        <v/>
      </c>
    </row>
    <row r="465">
      <c r="A465" s="2" t="inlineStr">
        <is>
          <t>TXN0463</t>
        </is>
      </c>
      <c r="B465" s="3" t="n">
        <v>45491</v>
      </c>
      <c r="C465" s="2" t="inlineStr">
        <is>
          <t>IBM Pakistan</t>
        </is>
      </c>
      <c r="D465" s="2" t="inlineStr">
        <is>
          <t>Compliance</t>
        </is>
      </c>
      <c r="E465" s="4" t="n">
        <v>800181</v>
      </c>
      <c r="F465" s="2" t="inlineStr">
        <is>
          <t>Bank Transfer</t>
        </is>
      </c>
      <c r="G465" s="2" t="inlineStr">
        <is>
          <t>Omer Saleem (CFO)</t>
        </is>
      </c>
      <c r="H465" s="2" t="inlineStr">
        <is>
          <t>IT Services</t>
        </is>
      </c>
      <c r="I465" s="2" t="inlineStr">
        <is>
          <t>INV-30625</t>
        </is>
      </c>
      <c r="J465" s="2" t="inlineStr">
        <is>
          <t>Recurring</t>
        </is>
      </c>
      <c r="K465" s="2" t="inlineStr">
        <is>
          <t>Under Review</t>
        </is>
      </c>
      <c r="M465">
        <f>COUNTIFS($C$3:$C$500,C465,$E$3:$E$500,E465)</f>
        <v/>
      </c>
    </row>
    <row r="466">
      <c r="A466" s="5" t="inlineStr">
        <is>
          <t>TXN0464</t>
        </is>
      </c>
      <c r="B466" s="6" t="n">
        <v>45552</v>
      </c>
      <c r="C466" s="5" t="inlineStr">
        <is>
          <t>Cisco Systems Pakistan</t>
        </is>
      </c>
      <c r="D466" s="5" t="inlineStr">
        <is>
          <t>Customer Experience</t>
        </is>
      </c>
      <c r="E466" s="7" t="n">
        <v>329175</v>
      </c>
      <c r="F466" s="5" t="inlineStr">
        <is>
          <t>Cheque</t>
        </is>
      </c>
      <c r="G466" s="5" t="inlineStr">
        <is>
          <t>Omer Saleem (CFO)</t>
        </is>
      </c>
      <c r="H466" s="5" t="inlineStr">
        <is>
          <t>Hardware</t>
        </is>
      </c>
      <c r="I466" s="5" t="inlineStr">
        <is>
          <t>INV-98503</t>
        </is>
      </c>
      <c r="J466" s="5" t="inlineStr">
        <is>
          <t>One-time</t>
        </is>
      </c>
      <c r="K466" s="5" t="inlineStr">
        <is>
          <t>Processed</t>
        </is>
      </c>
      <c r="M466">
        <f>COUNTIFS($C$3:$C$500,C466,$E$3:$E$500,E466)</f>
        <v/>
      </c>
    </row>
    <row r="467">
      <c r="A467" s="2" t="inlineStr">
        <is>
          <t>TXN0465</t>
        </is>
      </c>
      <c r="B467" s="3" t="n">
        <v>45394</v>
      </c>
      <c r="C467" s="2" t="inlineStr">
        <is>
          <t>Zong Business</t>
        </is>
      </c>
      <c r="D467" s="2" t="inlineStr">
        <is>
          <t>Marketing</t>
        </is>
      </c>
      <c r="E467" s="4" t="n">
        <v>43713</v>
      </c>
      <c r="F467" s="2" t="inlineStr">
        <is>
          <t>Bank Transfer</t>
        </is>
      </c>
      <c r="G467" s="2" t="inlineStr">
        <is>
          <t>Usman Tariq (Finance Manager)</t>
        </is>
      </c>
      <c r="H467" s="2" t="inlineStr">
        <is>
          <t>Telecom</t>
        </is>
      </c>
      <c r="I467" s="2" t="inlineStr">
        <is>
          <t>INV-26762</t>
        </is>
      </c>
      <c r="J467" s="2" t="n"/>
      <c r="K467" s="2" t="inlineStr">
        <is>
          <t>Processed</t>
        </is>
      </c>
      <c r="M467">
        <f>COUNTIFS($C$3:$C$500,C467,$E$3:$E$500,E467)</f>
        <v/>
      </c>
    </row>
    <row r="468">
      <c r="A468" s="5" t="inlineStr">
        <is>
          <t>TXN0466</t>
        </is>
      </c>
      <c r="B468" s="6" t="n">
        <v>45411</v>
      </c>
      <c r="C468" s="5" t="inlineStr">
        <is>
          <t>Singer Pakistan</t>
        </is>
      </c>
      <c r="D468" s="5" t="inlineStr">
        <is>
          <t>Compliance</t>
        </is>
      </c>
      <c r="E468" s="7" t="n">
        <v>17821</v>
      </c>
      <c r="F468" s="5" t="inlineStr">
        <is>
          <t>RTGS</t>
        </is>
      </c>
      <c r="G468" s="5" t="inlineStr">
        <is>
          <t>Usman Tariq (Finance Manager)</t>
        </is>
      </c>
      <c r="H468" s="5" t="inlineStr">
        <is>
          <t>Office Supplies</t>
        </is>
      </c>
      <c r="I468" s="5" t="inlineStr">
        <is>
          <t>INV-33597</t>
        </is>
      </c>
      <c r="J468" s="5" t="inlineStr">
        <is>
          <t>Urgent</t>
        </is>
      </c>
      <c r="K468" s="5" t="inlineStr">
        <is>
          <t>Processed</t>
        </is>
      </c>
      <c r="M468">
        <f>COUNTIFS($C$3:$C$500,C468,$E$3:$E$500,E468)</f>
        <v/>
      </c>
    </row>
    <row r="469">
      <c r="A469" s="2" t="inlineStr">
        <is>
          <t>TXN0467</t>
        </is>
      </c>
      <c r="B469" s="3" t="n">
        <v>45721</v>
      </c>
      <c r="C469" s="2" t="inlineStr">
        <is>
          <t>Hafeez Centre Dealers</t>
        </is>
      </c>
      <c r="D469" s="2" t="inlineStr">
        <is>
          <t>Marketing</t>
        </is>
      </c>
      <c r="E469" s="4" t="n">
        <v>749747</v>
      </c>
      <c r="F469" s="2" t="inlineStr">
        <is>
          <t>Bank Transfer</t>
        </is>
      </c>
      <c r="G469" s="2" t="inlineStr">
        <is>
          <t>Omer Saleem (CFO)</t>
        </is>
      </c>
      <c r="H469" s="2" t="inlineStr">
        <is>
          <t>Hardware</t>
        </is>
      </c>
      <c r="I469" s="2" t="inlineStr">
        <is>
          <t>INV-38389</t>
        </is>
      </c>
      <c r="J469" s="2" t="inlineStr">
        <is>
          <t>One-time</t>
        </is>
      </c>
      <c r="K469" s="2" t="inlineStr">
        <is>
          <t>Under Review</t>
        </is>
      </c>
      <c r="M469">
        <f>COUNTIFS($C$3:$C$500,C469,$E$3:$E$500,E469)</f>
        <v/>
      </c>
    </row>
    <row r="470">
      <c r="A470" s="5" t="inlineStr">
        <is>
          <t>TXN0468</t>
        </is>
      </c>
      <c r="B470" s="6" t="n">
        <v>45593</v>
      </c>
      <c r="C470" s="5" t="inlineStr">
        <is>
          <t>National Logistic Cell</t>
        </is>
      </c>
      <c r="D470" s="5" t="inlineStr">
        <is>
          <t>HR &amp; Admin</t>
        </is>
      </c>
      <c r="E470" s="7" t="n">
        <v>23619</v>
      </c>
      <c r="F470" s="5" t="inlineStr">
        <is>
          <t>Bank Transfer</t>
        </is>
      </c>
      <c r="G470" s="5" t="inlineStr">
        <is>
          <t>Usman Tariq (Finance Manager)</t>
        </is>
      </c>
      <c r="H470" s="5" t="inlineStr">
        <is>
          <t>Courier &amp; Logistics</t>
        </is>
      </c>
      <c r="I470" s="5" t="inlineStr">
        <is>
          <t>INV-91685</t>
        </is>
      </c>
      <c r="J470" s="5" t="inlineStr">
        <is>
          <t>Urgent</t>
        </is>
      </c>
      <c r="K470" s="5" t="inlineStr">
        <is>
          <t>Processed</t>
        </is>
      </c>
      <c r="M470">
        <f>COUNTIFS($C$3:$C$500,C470,$E$3:$E$500,E470)</f>
        <v/>
      </c>
    </row>
    <row r="471">
      <c r="A471" s="2" t="inlineStr">
        <is>
          <t>TXN0469</t>
        </is>
      </c>
      <c r="B471" s="3" t="n">
        <v>45688</v>
      </c>
      <c r="C471" s="2" t="inlineStr">
        <is>
          <t>Mobilink (Jazz)</t>
        </is>
      </c>
      <c r="D471" s="2" t="inlineStr">
        <is>
          <t>Risk Management</t>
        </is>
      </c>
      <c r="E471" s="4" t="n">
        <v>68190</v>
      </c>
      <c r="F471" s="2" t="inlineStr">
        <is>
          <t>RTGS</t>
        </is>
      </c>
      <c r="G471" s="2" t="inlineStr">
        <is>
          <t>Sara Ahmed (VP Finance)</t>
        </is>
      </c>
      <c r="H471" s="2" t="inlineStr">
        <is>
          <t>Telecom</t>
        </is>
      </c>
      <c r="I471" s="2" t="inlineStr">
        <is>
          <t>INV-59572</t>
        </is>
      </c>
      <c r="J471" s="2" t="inlineStr">
        <is>
          <t>Pre-approved</t>
        </is>
      </c>
      <c r="K471" s="2" t="inlineStr">
        <is>
          <t>Processed</t>
        </is>
      </c>
      <c r="M471">
        <f>COUNTIFS($C$3:$C$500,C471,$E$3:$E$500,E471)</f>
        <v/>
      </c>
    </row>
    <row r="472">
      <c r="A472" s="5" t="inlineStr">
        <is>
          <t>TXN0470</t>
        </is>
      </c>
      <c r="B472" s="6" t="n">
        <v>45733</v>
      </c>
      <c r="C472" s="5" t="inlineStr">
        <is>
          <t>Microsoft Pakistan</t>
        </is>
      </c>
      <c r="D472" s="5" t="inlineStr">
        <is>
          <t>Technology</t>
        </is>
      </c>
      <c r="E472" s="7" t="n">
        <v>371588</v>
      </c>
      <c r="F472" s="5" t="inlineStr">
        <is>
          <t>Bank Transfer</t>
        </is>
      </c>
      <c r="G472" s="5" t="inlineStr">
        <is>
          <t>Omer Saleem (CFO)</t>
        </is>
      </c>
      <c r="H472" s="5" t="inlineStr">
        <is>
          <t>Software License</t>
        </is>
      </c>
      <c r="I472" s="5" t="inlineStr">
        <is>
          <t>INV-89365</t>
        </is>
      </c>
      <c r="J472" s="5" t="n"/>
      <c r="K472" s="5" t="inlineStr">
        <is>
          <t>Processed</t>
        </is>
      </c>
      <c r="M472">
        <f>COUNTIFS($C$3:$C$500,C472,$E$3:$E$500,E472)</f>
        <v/>
      </c>
    </row>
    <row r="473">
      <c r="A473" s="2" t="inlineStr">
        <is>
          <t>TXN0471</t>
        </is>
      </c>
      <c r="B473" s="3" t="n">
        <v>45443</v>
      </c>
      <c r="C473" s="2" t="inlineStr">
        <is>
          <t>National Logistic Cell</t>
        </is>
      </c>
      <c r="D473" s="2" t="inlineStr">
        <is>
          <t>Marketing</t>
        </is>
      </c>
      <c r="E473" s="4" t="n">
        <v>20111</v>
      </c>
      <c r="F473" s="2" t="inlineStr">
        <is>
          <t>Cheque</t>
        </is>
      </c>
      <c r="G473" s="2" t="inlineStr">
        <is>
          <t>Usman Tariq (Finance Manager)</t>
        </is>
      </c>
      <c r="H473" s="2" t="inlineStr">
        <is>
          <t>Courier &amp; Logistics</t>
        </is>
      </c>
      <c r="I473" s="2" t="inlineStr">
        <is>
          <t>INV-96427</t>
        </is>
      </c>
      <c r="J473" s="2" t="n"/>
      <c r="K473" s="2" t="inlineStr">
        <is>
          <t>Under Review</t>
        </is>
      </c>
      <c r="M473">
        <f>COUNTIFS($C$3:$C$500,C473,$E$3:$E$500,E473)</f>
        <v/>
      </c>
    </row>
    <row r="474">
      <c r="A474" s="5" t="inlineStr">
        <is>
          <t>TXN0472</t>
        </is>
      </c>
      <c r="B474" s="6" t="n">
        <v>45572</v>
      </c>
      <c r="C474" s="5" t="inlineStr">
        <is>
          <t>Serena Hotel Lahore</t>
        </is>
      </c>
      <c r="D474" s="5" t="inlineStr">
        <is>
          <t>Technology</t>
        </is>
      </c>
      <c r="E474" s="7" t="n">
        <v>157514</v>
      </c>
      <c r="F474" s="5" t="inlineStr">
        <is>
          <t>Online Transfer</t>
        </is>
      </c>
      <c r="G474" s="5" t="inlineStr">
        <is>
          <t>Sara Ahmed (VP Finance)</t>
        </is>
      </c>
      <c r="H474" s="5" t="inlineStr">
        <is>
          <t>Travel &amp; Accommodation</t>
        </is>
      </c>
      <c r="I474" s="5" t="inlineStr">
        <is>
          <t>INV-40079</t>
        </is>
      </c>
      <c r="J474" s="5" t="inlineStr">
        <is>
          <t>One-time</t>
        </is>
      </c>
      <c r="K474" s="5" t="inlineStr">
        <is>
          <t>Processed</t>
        </is>
      </c>
      <c r="M474">
        <f>COUNTIFS($C$3:$C$500,C474,$E$3:$E$500,E474)</f>
        <v/>
      </c>
    </row>
    <row r="475">
      <c r="A475" s="2" t="inlineStr">
        <is>
          <t>TXN0473</t>
        </is>
      </c>
      <c r="B475" s="3" t="n">
        <v>45600</v>
      </c>
      <c r="C475" s="2" t="inlineStr">
        <is>
          <t>EY Pakistan</t>
        </is>
      </c>
      <c r="D475" s="2" t="inlineStr">
        <is>
          <t>Marketing</t>
        </is>
      </c>
      <c r="E475" s="4" t="n">
        <v>932997</v>
      </c>
      <c r="F475" s="2" t="inlineStr">
        <is>
          <t>RTGS</t>
        </is>
      </c>
      <c r="G475" s="2" t="inlineStr">
        <is>
          <t>Omer Saleem (CFO)</t>
        </is>
      </c>
      <c r="H475" s="2" t="inlineStr">
        <is>
          <t>Audit &amp; Legal</t>
        </is>
      </c>
      <c r="I475" s="2" t="inlineStr">
        <is>
          <t>INV-72539</t>
        </is>
      </c>
      <c r="J475" s="2" t="n"/>
      <c r="K475" s="2" t="inlineStr">
        <is>
          <t>Processed</t>
        </is>
      </c>
      <c r="M475">
        <f>COUNTIFS($C$3:$C$500,C475,$E$3:$E$500,E475)</f>
        <v/>
      </c>
    </row>
    <row r="476">
      <c r="A476" s="5" t="inlineStr">
        <is>
          <t>TXN0474</t>
        </is>
      </c>
      <c r="B476" s="6" t="n">
        <v>45385</v>
      </c>
      <c r="C476" s="5" t="inlineStr">
        <is>
          <t>Meezan Bank Ltd</t>
        </is>
      </c>
      <c r="D476" s="5" t="inlineStr">
        <is>
          <t>Marketing</t>
        </is>
      </c>
      <c r="E476" s="7" t="n">
        <v>103809</v>
      </c>
      <c r="F476" s="5" t="inlineStr">
        <is>
          <t>Bank Transfer</t>
        </is>
      </c>
      <c r="G476" s="5" t="inlineStr">
        <is>
          <t>Sara Ahmed (VP Finance)</t>
        </is>
      </c>
      <c r="H476" s="5" t="inlineStr">
        <is>
          <t>Banking Services</t>
        </is>
      </c>
      <c r="I476" s="5" t="inlineStr">
        <is>
          <t>INV-78126</t>
        </is>
      </c>
      <c r="J476" s="5" t="n"/>
      <c r="K476" s="5" t="inlineStr">
        <is>
          <t>Processed</t>
        </is>
      </c>
      <c r="M476">
        <f>COUNTIFS($C$3:$C$500,C476,$E$3:$E$500,E476)</f>
        <v/>
      </c>
    </row>
    <row r="477">
      <c r="A477" s="2" t="inlineStr">
        <is>
          <t>TXN0475</t>
        </is>
      </c>
      <c r="B477" s="3" t="n">
        <v>45568</v>
      </c>
      <c r="C477" s="2" t="inlineStr">
        <is>
          <t>Punjab Beverages</t>
        </is>
      </c>
      <c r="D477" s="2" t="inlineStr">
        <is>
          <t>Finance &amp; Accounts</t>
        </is>
      </c>
      <c r="E477" s="4" t="n">
        <v>63095</v>
      </c>
      <c r="F477" s="2" t="inlineStr">
        <is>
          <t>Bank Transfer</t>
        </is>
      </c>
      <c r="G477" s="2" t="inlineStr">
        <is>
          <t>Sara Ahmed (VP Finance)</t>
        </is>
      </c>
      <c r="H477" s="2" t="inlineStr">
        <is>
          <t>Office Supplies</t>
        </is>
      </c>
      <c r="I477" s="2" t="inlineStr">
        <is>
          <t>INV-65846</t>
        </is>
      </c>
      <c r="J477" s="2" t="n"/>
      <c r="K477" s="2" t="inlineStr">
        <is>
          <t>Processed</t>
        </is>
      </c>
      <c r="M477">
        <f>COUNTIFS($C$3:$C$500,C477,$E$3:$E$500,E477)</f>
        <v/>
      </c>
    </row>
    <row r="478">
      <c r="A478" s="5" t="inlineStr">
        <is>
          <t>TXN0476</t>
        </is>
      </c>
      <c r="B478" s="6" t="n">
        <v>45586</v>
      </c>
      <c r="C478" s="5" t="inlineStr">
        <is>
          <t>Serena Hotel Lahore</t>
        </is>
      </c>
      <c r="D478" s="5" t="inlineStr">
        <is>
          <t>Operations</t>
        </is>
      </c>
      <c r="E478" s="7" t="n">
        <v>136212</v>
      </c>
      <c r="F478" s="5" t="inlineStr">
        <is>
          <t>Online Transfer</t>
        </is>
      </c>
      <c r="G478" s="5" t="inlineStr">
        <is>
          <t>Sara Ahmed (VP Finance)</t>
        </is>
      </c>
      <c r="H478" s="5" t="inlineStr">
        <is>
          <t>Travel &amp; Accommodation</t>
        </is>
      </c>
      <c r="I478" s="5" t="inlineStr">
        <is>
          <t>INV-82365</t>
        </is>
      </c>
      <c r="J478" s="5" t="inlineStr">
        <is>
          <t>Urgent</t>
        </is>
      </c>
      <c r="K478" s="5" t="inlineStr">
        <is>
          <t>Processed</t>
        </is>
      </c>
      <c r="M478">
        <f>COUNTIFS($C$3:$C$500,C478,$E$3:$E$500,E478)</f>
        <v/>
      </c>
    </row>
    <row r="479">
      <c r="A479" s="2" t="inlineStr">
        <is>
          <t>TXN0477</t>
        </is>
      </c>
      <c r="B479" s="3" t="n">
        <v>45540</v>
      </c>
      <c r="C479" s="2" t="inlineStr">
        <is>
          <t>Telenor Pakistan</t>
        </is>
      </c>
      <c r="D479" s="2" t="inlineStr">
        <is>
          <t>Operations</t>
        </is>
      </c>
      <c r="E479" s="4" t="n">
        <v>83411</v>
      </c>
      <c r="F479" s="2" t="inlineStr">
        <is>
          <t>Online Transfer</t>
        </is>
      </c>
      <c r="G479" s="2" t="inlineStr">
        <is>
          <t>Zara Malik (CFO Office)</t>
        </is>
      </c>
      <c r="H479" s="2" t="inlineStr">
        <is>
          <t>Telecom</t>
        </is>
      </c>
      <c r="I479" s="2" t="inlineStr">
        <is>
          <t>INV-28096</t>
        </is>
      </c>
      <c r="J479" s="2" t="n"/>
      <c r="K479" s="2" t="inlineStr">
        <is>
          <t>Processed</t>
        </is>
      </c>
      <c r="M479">
        <f>COUNTIFS($C$3:$C$500,C479,$E$3:$E$500,E479)</f>
        <v/>
      </c>
    </row>
    <row r="480">
      <c r="A480" s="5" t="inlineStr">
        <is>
          <t>TXN0478</t>
        </is>
      </c>
      <c r="B480" s="6" t="n">
        <v>45492</v>
      </c>
      <c r="C480" s="5" t="inlineStr">
        <is>
          <t>Leopards Courier</t>
        </is>
      </c>
      <c r="D480" s="5" t="inlineStr">
        <is>
          <t>Risk Management</t>
        </is>
      </c>
      <c r="E480" s="7" t="n">
        <v>21092</v>
      </c>
      <c r="F480" s="5" t="inlineStr">
        <is>
          <t>Online Transfer</t>
        </is>
      </c>
      <c r="G480" s="5" t="inlineStr">
        <is>
          <t>Bilal Khan (Head Ops)</t>
        </is>
      </c>
      <c r="H480" s="5" t="inlineStr">
        <is>
          <t>Courier &amp; Logistics</t>
        </is>
      </c>
      <c r="I480" s="5" t="inlineStr">
        <is>
          <t>INV-82165</t>
        </is>
      </c>
      <c r="J480" s="5" t="n"/>
      <c r="K480" s="5" t="inlineStr">
        <is>
          <t>Processed</t>
        </is>
      </c>
      <c r="M480">
        <f>COUNTIFS($C$3:$C$500,C480,$E$3:$E$500,E480)</f>
        <v/>
      </c>
    </row>
    <row r="481">
      <c r="A481" s="2" t="inlineStr">
        <is>
          <t>TXN0479</t>
        </is>
      </c>
      <c r="B481" s="3" t="n">
        <v>45457</v>
      </c>
      <c r="C481" s="2" t="inlineStr">
        <is>
          <t>Axis Law Chambers</t>
        </is>
      </c>
      <c r="D481" s="2" t="inlineStr">
        <is>
          <t>Customer Experience</t>
        </is>
      </c>
      <c r="E481" s="4" t="n">
        <v>155112</v>
      </c>
      <c r="F481" s="2" t="inlineStr">
        <is>
          <t>Online Transfer</t>
        </is>
      </c>
      <c r="G481" s="2" t="inlineStr">
        <is>
          <t>Zara Malik (CFO Office)</t>
        </is>
      </c>
      <c r="H481" s="2" t="inlineStr">
        <is>
          <t>Legal Services</t>
        </is>
      </c>
      <c r="I481" s="2" t="inlineStr">
        <is>
          <t>INV-21552</t>
        </is>
      </c>
      <c r="J481" s="2" t="n"/>
      <c r="K481" s="2" t="inlineStr">
        <is>
          <t>Processed</t>
        </is>
      </c>
      <c r="M481">
        <f>COUNTIFS($C$3:$C$500,C481,$E$3:$E$500,E481)</f>
        <v/>
      </c>
    </row>
    <row r="482">
      <c r="A482" s="5" t="inlineStr">
        <is>
          <t>TXN0480</t>
        </is>
      </c>
      <c r="B482" s="6" t="n">
        <v>45579</v>
      </c>
      <c r="C482" s="5" t="inlineStr">
        <is>
          <t>Ufone Corporate</t>
        </is>
      </c>
      <c r="D482" s="5" t="inlineStr">
        <is>
          <t>Operations</t>
        </is>
      </c>
      <c r="E482" s="7" t="n">
        <v>26955</v>
      </c>
      <c r="F482" s="5" t="inlineStr">
        <is>
          <t>RTGS</t>
        </is>
      </c>
      <c r="G482" s="5" t="inlineStr">
        <is>
          <t>Bilal Khan (Head Ops)</t>
        </is>
      </c>
      <c r="H482" s="5" t="inlineStr">
        <is>
          <t>Telecom</t>
        </is>
      </c>
      <c r="I482" s="5" t="inlineStr">
        <is>
          <t>INV-88311</t>
        </is>
      </c>
      <c r="J482" s="5" t="n"/>
      <c r="K482" s="5" t="inlineStr">
        <is>
          <t>Processed</t>
        </is>
      </c>
      <c r="M482">
        <f>COUNTIFS($C$3:$C$500,C482,$E$3:$E$500,E482)</f>
        <v/>
      </c>
    </row>
    <row r="483">
      <c r="A483" s="2" t="inlineStr">
        <is>
          <t>TXN0481</t>
        </is>
      </c>
      <c r="B483" s="3" t="n">
        <v>45719</v>
      </c>
      <c r="C483" s="2" t="inlineStr">
        <is>
          <t>Singer Pakistan</t>
        </is>
      </c>
      <c r="D483" s="2" t="inlineStr">
        <is>
          <t>HR &amp; Admin</t>
        </is>
      </c>
      <c r="E483" s="4" t="n">
        <v>41790</v>
      </c>
      <c r="F483" s="2" t="inlineStr">
        <is>
          <t>RTGS</t>
        </is>
      </c>
      <c r="G483" s="2" t="inlineStr">
        <is>
          <t>Bilal Khan (Head Ops)</t>
        </is>
      </c>
      <c r="H483" s="2" t="inlineStr">
        <is>
          <t>Office Supplies</t>
        </is>
      </c>
      <c r="I483" s="2" t="inlineStr">
        <is>
          <t>INV-14405</t>
        </is>
      </c>
      <c r="J483" s="2" t="inlineStr">
        <is>
          <t>Urgent</t>
        </is>
      </c>
      <c r="K483" s="2" t="inlineStr">
        <is>
          <t>Pending</t>
        </is>
      </c>
      <c r="M483">
        <f>COUNTIFS($C$3:$C$500,C483,$E$3:$E$500,E483)</f>
        <v/>
      </c>
    </row>
    <row r="484">
      <c r="A484" s="5" t="inlineStr">
        <is>
          <t>TXN0482</t>
        </is>
      </c>
      <c r="B484" s="6" t="n">
        <v>45567</v>
      </c>
      <c r="C484" s="5" t="inlineStr">
        <is>
          <t>Ufone Corporate</t>
        </is>
      </c>
      <c r="D484" s="5" t="inlineStr">
        <is>
          <t>Marketing</t>
        </is>
      </c>
      <c r="E484" s="7" t="n">
        <v>38651</v>
      </c>
      <c r="F484" s="5" t="inlineStr">
        <is>
          <t>Bank Transfer</t>
        </is>
      </c>
      <c r="G484" s="5" t="inlineStr">
        <is>
          <t>Usman Tariq (Finance Manager)</t>
        </is>
      </c>
      <c r="H484" s="5" t="inlineStr">
        <is>
          <t>Telecom</t>
        </is>
      </c>
      <c r="I484" s="5" t="inlineStr">
        <is>
          <t>INV-30636</t>
        </is>
      </c>
      <c r="J484" s="5" t="n"/>
      <c r="K484" s="5" t="inlineStr">
        <is>
          <t>Processed</t>
        </is>
      </c>
      <c r="M484">
        <f>COUNTIFS($C$3:$C$500,C484,$E$3:$E$500,E484)</f>
        <v/>
      </c>
    </row>
    <row r="485">
      <c r="A485" s="2" t="inlineStr">
        <is>
          <t>TXN0483</t>
        </is>
      </c>
      <c r="B485" s="3" t="n">
        <v>45485</v>
      </c>
      <c r="C485" s="2" t="inlineStr">
        <is>
          <t>Haidermota &amp; Co</t>
        </is>
      </c>
      <c r="D485" s="2" t="inlineStr">
        <is>
          <t>Operations</t>
        </is>
      </c>
      <c r="E485" s="4" t="n">
        <v>364657</v>
      </c>
      <c r="F485" s="2" t="inlineStr">
        <is>
          <t>Bank Transfer</t>
        </is>
      </c>
      <c r="G485" s="2" t="inlineStr">
        <is>
          <t>Omer Saleem (CFO)</t>
        </is>
      </c>
      <c r="H485" s="2" t="inlineStr">
        <is>
          <t>Legal Services</t>
        </is>
      </c>
      <c r="I485" s="2" t="inlineStr">
        <is>
          <t>INV-21818</t>
        </is>
      </c>
      <c r="J485" s="2" t="inlineStr">
        <is>
          <t>Urgent</t>
        </is>
      </c>
      <c r="K485" s="2" t="inlineStr">
        <is>
          <t>Processed</t>
        </is>
      </c>
      <c r="M485">
        <f>COUNTIFS($C$3:$C$500,C485,$E$3:$E$500,E485)</f>
        <v/>
      </c>
    </row>
    <row r="486">
      <c r="A486" s="5" t="inlineStr">
        <is>
          <t>TXN0484</t>
        </is>
      </c>
      <c r="B486" s="6" t="n">
        <v>45524</v>
      </c>
      <c r="C486" s="5" t="inlineStr">
        <is>
          <t>Avari Towers</t>
        </is>
      </c>
      <c r="D486" s="5" t="inlineStr">
        <is>
          <t>Marketing</t>
        </is>
      </c>
      <c r="E486" s="7" t="n">
        <v>132791</v>
      </c>
      <c r="F486" s="5" t="inlineStr">
        <is>
          <t>RTGS</t>
        </is>
      </c>
      <c r="G486" s="5" t="inlineStr">
        <is>
          <t>Sara Ahmed (VP Finance)</t>
        </is>
      </c>
      <c r="H486" s="5" t="inlineStr">
        <is>
          <t>Travel &amp; Accommodation</t>
        </is>
      </c>
      <c r="I486" s="5" t="inlineStr">
        <is>
          <t>INV-69606</t>
        </is>
      </c>
      <c r="J486" s="5" t="inlineStr">
        <is>
          <t>Pre-approved</t>
        </is>
      </c>
      <c r="K486" s="5" t="inlineStr">
        <is>
          <t>Under Review</t>
        </is>
      </c>
      <c r="M486">
        <f>COUNTIFS($C$3:$C$500,C486,$E$3:$E$500,E486)</f>
        <v/>
      </c>
    </row>
    <row r="487">
      <c r="A487" s="2" t="inlineStr">
        <is>
          <t>TXN0485</t>
        </is>
      </c>
      <c r="B487" s="3" t="n">
        <v>45642</v>
      </c>
      <c r="C487" s="2" t="inlineStr">
        <is>
          <t>Systems Limited</t>
        </is>
      </c>
      <c r="D487" s="2" t="inlineStr">
        <is>
          <t>Finance &amp; Accounts</t>
        </is>
      </c>
      <c r="E487" s="4" t="n">
        <v>341054</v>
      </c>
      <c r="F487" s="2" t="inlineStr">
        <is>
          <t>Bank Transfer</t>
        </is>
      </c>
      <c r="G487" s="2" t="inlineStr">
        <is>
          <t>Omer Saleem (CFO)</t>
        </is>
      </c>
      <c r="H487" s="2" t="inlineStr">
        <is>
          <t>Software License</t>
        </is>
      </c>
      <c r="I487" s="2" t="inlineStr">
        <is>
          <t>INV-75951</t>
        </is>
      </c>
      <c r="J487" s="2" t="n"/>
      <c r="K487" s="2" t="inlineStr">
        <is>
          <t>Processed</t>
        </is>
      </c>
      <c r="M487">
        <f>COUNTIFS($C$3:$C$500,C487,$E$3:$E$500,E487)</f>
        <v/>
      </c>
    </row>
    <row r="488">
      <c r="A488" s="5" t="inlineStr">
        <is>
          <t>TXN0486</t>
        </is>
      </c>
      <c r="B488" s="6" t="n">
        <v>45677</v>
      </c>
      <c r="C488" s="5" t="inlineStr">
        <is>
          <t>Cisco Systems Pakistan</t>
        </is>
      </c>
      <c r="D488" s="5" t="inlineStr">
        <is>
          <t>Compliance</t>
        </is>
      </c>
      <c r="E488" s="7" t="n">
        <v>359871</v>
      </c>
      <c r="F488" s="5" t="inlineStr">
        <is>
          <t>Cheque</t>
        </is>
      </c>
      <c r="G488" s="5" t="inlineStr">
        <is>
          <t>Omer Saleem (CFO)</t>
        </is>
      </c>
      <c r="H488" s="5" t="inlineStr">
        <is>
          <t>Hardware</t>
        </is>
      </c>
      <c r="I488" s="5" t="inlineStr">
        <is>
          <t>INV-59424</t>
        </is>
      </c>
      <c r="J488" s="5" t="inlineStr">
        <is>
          <t>One-time</t>
        </is>
      </c>
      <c r="K488" s="5" t="inlineStr">
        <is>
          <t>Processed</t>
        </is>
      </c>
      <c r="M488">
        <f>COUNTIFS($C$3:$C$500,C488,$E$3:$E$500,E488)</f>
        <v/>
      </c>
    </row>
    <row r="489">
      <c r="A489" s="2" t="inlineStr">
        <is>
          <t>TXN0487</t>
        </is>
      </c>
      <c r="B489" s="3" t="n">
        <v>45397</v>
      </c>
      <c r="C489" s="2" t="inlineStr">
        <is>
          <t>KPMG Taseer Hadi</t>
        </is>
      </c>
      <c r="D489" s="2" t="inlineStr">
        <is>
          <t>HR &amp; Admin</t>
        </is>
      </c>
      <c r="E489" s="4" t="n">
        <v>923098</v>
      </c>
      <c r="F489" s="2" t="inlineStr">
        <is>
          <t>Bank Transfer</t>
        </is>
      </c>
      <c r="G489" s="2" t="inlineStr">
        <is>
          <t>Omer Saleem (CFO)</t>
        </is>
      </c>
      <c r="H489" s="2" t="inlineStr">
        <is>
          <t>Audit &amp; Legal</t>
        </is>
      </c>
      <c r="I489" s="2" t="inlineStr">
        <is>
          <t>INV-43792</t>
        </is>
      </c>
      <c r="J489" s="2" t="n"/>
      <c r="K489" s="2" t="inlineStr">
        <is>
          <t>Processed</t>
        </is>
      </c>
      <c r="M489">
        <f>COUNTIFS($C$3:$C$500,C489,$E$3:$E$500,E489)</f>
        <v/>
      </c>
    </row>
    <row r="490">
      <c r="A490" s="5" t="inlineStr">
        <is>
          <t>TXN0488</t>
        </is>
      </c>
      <c r="B490" s="6" t="n">
        <v>45544</v>
      </c>
      <c r="C490" s="5" t="inlineStr">
        <is>
          <t>Singer Pakistan</t>
        </is>
      </c>
      <c r="D490" s="5" t="inlineStr">
        <is>
          <t>Finance &amp; Accounts</t>
        </is>
      </c>
      <c r="E490" s="7" t="n">
        <v>60976</v>
      </c>
      <c r="F490" s="5" t="inlineStr">
        <is>
          <t>Online Transfer</t>
        </is>
      </c>
      <c r="G490" s="5" t="inlineStr">
        <is>
          <t>Zara Malik (CFO Office)</t>
        </is>
      </c>
      <c r="H490" s="5" t="inlineStr">
        <is>
          <t>Office Supplies</t>
        </is>
      </c>
      <c r="I490" s="5" t="inlineStr">
        <is>
          <t>INV-77699</t>
        </is>
      </c>
      <c r="J490" s="5" t="inlineStr">
        <is>
          <t>Urgent</t>
        </is>
      </c>
      <c r="K490" s="5" t="inlineStr">
        <is>
          <t>Processed</t>
        </is>
      </c>
      <c r="M490">
        <f>COUNTIFS($C$3:$C$500,C490,$E$3:$E$500,E490)</f>
        <v/>
      </c>
    </row>
    <row r="491">
      <c r="A491" s="2" t="inlineStr">
        <is>
          <t>TXN0489</t>
        </is>
      </c>
      <c r="B491" s="3" t="n">
        <v>45587</v>
      </c>
      <c r="C491" s="2" t="inlineStr">
        <is>
          <t>MCB Bank Ltd</t>
        </is>
      </c>
      <c r="D491" s="2" t="inlineStr">
        <is>
          <t>Finance &amp; Accounts</t>
        </is>
      </c>
      <c r="E491" s="4" t="n">
        <v>65025</v>
      </c>
      <c r="F491" s="2" t="inlineStr">
        <is>
          <t>Bank Transfer</t>
        </is>
      </c>
      <c r="G491" s="2" t="inlineStr">
        <is>
          <t>Zara Malik (CFO Office)</t>
        </is>
      </c>
      <c r="H491" s="2" t="inlineStr">
        <is>
          <t>Banking Services</t>
        </is>
      </c>
      <c r="I491" s="2" t="inlineStr">
        <is>
          <t>INV-82686</t>
        </is>
      </c>
      <c r="J491" s="2" t="n"/>
      <c r="K491" s="2" t="inlineStr">
        <is>
          <t>Processed</t>
        </is>
      </c>
      <c r="M491">
        <f>COUNTIFS($C$3:$C$500,C491,$E$3:$E$500,E491)</f>
        <v/>
      </c>
    </row>
    <row r="492">
      <c r="A492" s="5" t="inlineStr">
        <is>
          <t>TXN0490</t>
        </is>
      </c>
      <c r="B492" s="6" t="n">
        <v>45476</v>
      </c>
      <c r="C492" s="5" t="inlineStr">
        <is>
          <t>Deloitte Pakistan</t>
        </is>
      </c>
      <c r="D492" s="5" t="inlineStr">
        <is>
          <t>Operations</t>
        </is>
      </c>
      <c r="E492" s="7" t="n">
        <v>434438</v>
      </c>
      <c r="F492" s="5" t="inlineStr">
        <is>
          <t>Cheque</t>
        </is>
      </c>
      <c r="G492" s="5" t="inlineStr">
        <is>
          <t>Omer Saleem (CFO)</t>
        </is>
      </c>
      <c r="H492" s="5" t="inlineStr">
        <is>
          <t>Audit &amp; Legal</t>
        </is>
      </c>
      <c r="I492" s="5" t="inlineStr">
        <is>
          <t>INV-36170</t>
        </is>
      </c>
      <c r="J492" s="5" t="n"/>
      <c r="K492" s="5" t="inlineStr">
        <is>
          <t>Processed</t>
        </is>
      </c>
      <c r="M492">
        <f>COUNTIFS($C$3:$C$500,C492,$E$3:$E$500,E492)</f>
        <v/>
      </c>
    </row>
    <row r="493">
      <c r="A493" s="2" t="inlineStr">
        <is>
          <t>TXN0491</t>
        </is>
      </c>
      <c r="B493" s="3" t="n">
        <v>45510</v>
      </c>
      <c r="C493" s="2" t="inlineStr">
        <is>
          <t>MCB Bank Ltd</t>
        </is>
      </c>
      <c r="D493" s="2" t="inlineStr">
        <is>
          <t>Finance &amp; Accounts</t>
        </is>
      </c>
      <c r="E493" s="4" t="n">
        <v>59211</v>
      </c>
      <c r="F493" s="2" t="inlineStr">
        <is>
          <t>Bank Transfer</t>
        </is>
      </c>
      <c r="G493" s="2" t="inlineStr">
        <is>
          <t>Zara Malik (CFO Office)</t>
        </is>
      </c>
      <c r="H493" s="2" t="inlineStr">
        <is>
          <t>Banking Services</t>
        </is>
      </c>
      <c r="I493" s="2" t="inlineStr">
        <is>
          <t>INV-23983</t>
        </is>
      </c>
      <c r="J493" s="2" t="n"/>
      <c r="K493" s="2" t="inlineStr">
        <is>
          <t>Processed</t>
        </is>
      </c>
      <c r="M493">
        <f>COUNTIFS($C$3:$C$500,C493,$E$3:$E$500,E493)</f>
        <v/>
      </c>
    </row>
    <row r="494">
      <c r="A494" s="5" t="inlineStr">
        <is>
          <t>TXN0492</t>
        </is>
      </c>
      <c r="B494" s="6" t="n">
        <v>45660</v>
      </c>
      <c r="C494" s="5" t="inlineStr">
        <is>
          <t>Nestle Pakistan</t>
        </is>
      </c>
      <c r="D494" s="5" t="inlineStr">
        <is>
          <t>HR &amp; Admin</t>
        </is>
      </c>
      <c r="E494" s="7" t="n">
        <v>53182</v>
      </c>
      <c r="F494" s="5" t="inlineStr">
        <is>
          <t>Cheque</t>
        </is>
      </c>
      <c r="G494" s="5" t="inlineStr">
        <is>
          <t>Sara Ahmed (VP Finance)</t>
        </is>
      </c>
      <c r="H494" s="5" t="inlineStr">
        <is>
          <t>Office Supplies</t>
        </is>
      </c>
      <c r="I494" s="5" t="inlineStr">
        <is>
          <t>INV-58653</t>
        </is>
      </c>
      <c r="J494" s="5" t="inlineStr">
        <is>
          <t>Recurring</t>
        </is>
      </c>
      <c r="K494" s="5" t="inlineStr">
        <is>
          <t>Processed</t>
        </is>
      </c>
      <c r="M494">
        <f>COUNTIFS($C$3:$C$500,C494,$E$3:$E$500,E494)</f>
        <v/>
      </c>
    </row>
    <row r="495">
      <c r="A495" s="2" t="inlineStr">
        <is>
          <t>TXN0493</t>
        </is>
      </c>
      <c r="B495" s="3" t="n">
        <v>45644</v>
      </c>
      <c r="C495" s="2" t="inlineStr">
        <is>
          <t>Al-Fatah Electronics</t>
        </is>
      </c>
      <c r="D495" s="2" t="inlineStr">
        <is>
          <t>Finance &amp; Accounts</t>
        </is>
      </c>
      <c r="E495" s="4" t="n">
        <v>48008</v>
      </c>
      <c r="F495" s="2" t="inlineStr">
        <is>
          <t>Online Transfer</t>
        </is>
      </c>
      <c r="G495" s="2" t="inlineStr">
        <is>
          <t>Bilal Khan (Head Ops)</t>
        </is>
      </c>
      <c r="H495" s="2" t="inlineStr">
        <is>
          <t>Office Supplies</t>
        </is>
      </c>
      <c r="I495" s="2" t="inlineStr">
        <is>
          <t>INV-39110</t>
        </is>
      </c>
      <c r="J495" s="2" t="n"/>
      <c r="K495" s="2" t="inlineStr">
        <is>
          <t>Processed</t>
        </is>
      </c>
      <c r="M495">
        <f>COUNTIFS($C$3:$C$500,C495,$E$3:$E$500,E495)</f>
        <v/>
      </c>
    </row>
    <row r="496">
      <c r="A496" s="5" t="inlineStr">
        <is>
          <t>TXN0494</t>
        </is>
      </c>
      <c r="B496" s="6" t="n">
        <v>45399</v>
      </c>
      <c r="C496" s="5" t="inlineStr">
        <is>
          <t>Marriott Islamabad</t>
        </is>
      </c>
      <c r="D496" s="5" t="inlineStr">
        <is>
          <t>Operations</t>
        </is>
      </c>
      <c r="E496" s="7" t="n">
        <v>170094</v>
      </c>
      <c r="F496" s="5" t="inlineStr">
        <is>
          <t>Online Transfer</t>
        </is>
      </c>
      <c r="G496" s="5" t="inlineStr">
        <is>
          <t>Zara Malik (CFO Office)</t>
        </is>
      </c>
      <c r="H496" s="5" t="inlineStr">
        <is>
          <t>Travel &amp; Accommodation</t>
        </is>
      </c>
      <c r="I496" s="5" t="inlineStr">
        <is>
          <t>INV-99959</t>
        </is>
      </c>
      <c r="J496" s="5" t="n"/>
      <c r="K496" s="5" t="inlineStr">
        <is>
          <t>Processed</t>
        </is>
      </c>
      <c r="M496">
        <f>COUNTIFS($C$3:$C$500,C496,$E$3:$E$500,E496)</f>
        <v/>
      </c>
    </row>
    <row r="497">
      <c r="A497" s="2" t="inlineStr">
        <is>
          <t>TXN0495</t>
        </is>
      </c>
      <c r="B497" s="3" t="n">
        <v>45544</v>
      </c>
      <c r="C497" s="2" t="inlineStr">
        <is>
          <t>Cisco Systems Pakistan</t>
        </is>
      </c>
      <c r="D497" s="2" t="inlineStr">
        <is>
          <t>Risk Management</t>
        </is>
      </c>
      <c r="E497" s="4" t="n">
        <v>631761</v>
      </c>
      <c r="F497" s="2" t="inlineStr">
        <is>
          <t>Bank Transfer</t>
        </is>
      </c>
      <c r="G497" s="2" t="inlineStr">
        <is>
          <t>Omer Saleem (CFO)</t>
        </is>
      </c>
      <c r="H497" s="2" t="inlineStr">
        <is>
          <t>Hardware</t>
        </is>
      </c>
      <c r="I497" s="2" t="inlineStr">
        <is>
          <t>INV-98356</t>
        </is>
      </c>
      <c r="J497" s="2" t="n"/>
      <c r="K497" s="2" t="inlineStr">
        <is>
          <t>Processed</t>
        </is>
      </c>
      <c r="M497">
        <f>COUNTIFS($C$3:$C$500,C497,$E$3:$E$500,E497)</f>
        <v/>
      </c>
    </row>
    <row r="498">
      <c r="A498" s="5" t="inlineStr">
        <is>
          <t>TXN0496</t>
        </is>
      </c>
      <c r="B498" s="6" t="n">
        <v>45478</v>
      </c>
      <c r="C498" s="5" t="inlineStr">
        <is>
          <t>Metro Cash &amp; Carry</t>
        </is>
      </c>
      <c r="D498" s="5" t="inlineStr">
        <is>
          <t>Technology</t>
        </is>
      </c>
      <c r="E498" s="7" t="n">
        <v>40098</v>
      </c>
      <c r="F498" s="5" t="inlineStr">
        <is>
          <t>RTGS</t>
        </is>
      </c>
      <c r="G498" s="5" t="inlineStr">
        <is>
          <t>Bilal Khan (Head Ops)</t>
        </is>
      </c>
      <c r="H498" s="5" t="inlineStr">
        <is>
          <t>Office Supplies</t>
        </is>
      </c>
      <c r="I498" s="5" t="inlineStr">
        <is>
          <t>INV-45311</t>
        </is>
      </c>
      <c r="J498" s="5" t="inlineStr">
        <is>
          <t>One-time</t>
        </is>
      </c>
      <c r="K498" s="5" t="inlineStr">
        <is>
          <t>Under Review</t>
        </is>
      </c>
      <c r="M498">
        <f>COUNTIFS($C$3:$C$500,C498,$E$3:$E$500,E498)</f>
        <v/>
      </c>
    </row>
    <row r="499">
      <c r="A499" s="2" t="inlineStr">
        <is>
          <t>TXN0497</t>
        </is>
      </c>
      <c r="B499" s="3" t="n">
        <v>45600</v>
      </c>
      <c r="C499" s="2" t="inlineStr">
        <is>
          <t>KPMG Taseer Hadi</t>
        </is>
      </c>
      <c r="D499" s="2" t="inlineStr">
        <is>
          <t>Operations</t>
        </is>
      </c>
      <c r="E499" s="4" t="n">
        <v>401865</v>
      </c>
      <c r="F499" s="2" t="inlineStr">
        <is>
          <t>Online Transfer</t>
        </is>
      </c>
      <c r="G499" s="2" t="inlineStr">
        <is>
          <t>Omer Saleem (CFO)</t>
        </is>
      </c>
      <c r="H499" s="2" t="inlineStr">
        <is>
          <t>Audit &amp; Legal</t>
        </is>
      </c>
      <c r="I499" s="2" t="inlineStr">
        <is>
          <t>INV-58799</t>
        </is>
      </c>
      <c r="J499" s="2" t="inlineStr">
        <is>
          <t>Recurring</t>
        </is>
      </c>
      <c r="K499" s="2" t="inlineStr">
        <is>
          <t>Processed</t>
        </is>
      </c>
      <c r="M499">
        <f>COUNTIFS($C$3:$C$500,C499,$E$3:$E$500,E499)</f>
        <v/>
      </c>
    </row>
    <row r="500" s="23">
      <c r="A500" s="16" t="inlineStr">
        <is>
          <t>TXN0498</t>
        </is>
      </c>
      <c r="B500" s="17" t="n">
        <v>45518</v>
      </c>
      <c r="C500" s="16" t="inlineStr">
        <is>
          <t>Metro Cash &amp; Carry</t>
        </is>
      </c>
      <c r="D500" s="16" t="inlineStr">
        <is>
          <t>Operations</t>
        </is>
      </c>
      <c r="E500" s="18" t="n">
        <v>16735</v>
      </c>
      <c r="F500" s="16" t="inlineStr">
        <is>
          <t>Bank Transfer</t>
        </is>
      </c>
      <c r="G500" s="16" t="inlineStr">
        <is>
          <t>Usman Tariq (Finance Manager)</t>
        </is>
      </c>
      <c r="H500" s="16" t="inlineStr">
        <is>
          <t>Office Supplies</t>
        </is>
      </c>
      <c r="I500" s="16" t="inlineStr">
        <is>
          <t>INV-65176</t>
        </is>
      </c>
      <c r="J500" s="16" t="inlineStr">
        <is>
          <t>Reprocessed</t>
        </is>
      </c>
      <c r="K500" s="16" t="inlineStr">
        <is>
          <t>Processed</t>
        </is>
      </c>
      <c r="L500" s="19" t="n"/>
      <c r="M500" s="19">
        <f>COUNTIFS($C$3:$C$500,C500,$E$3:$E$500,E500)</f>
        <v/>
      </c>
    </row>
  </sheetData>
  <autoFilter ref="A2:M500"/>
  <mergeCells count="1">
    <mergeCell ref="A1:K1"/>
  </mergeCells>
  <conditionalFormatting sqref="E2:E500">
    <cfRule type="expression" priority="4" dxfId="3">
      <formula>MOD(E2,10000)=0</formula>
    </cfRule>
  </conditionalFormatting>
  <conditionalFormatting sqref="A3:A500">
    <cfRule type="duplicateValues" priority="3" dxfId="3"/>
  </conditionalFormatting>
  <conditionalFormatting sqref="B3:B500">
    <cfRule type="expression" priority="2" dxfId="2">
      <formula>WEEKDAY(B3,2)&gt;5</formula>
    </cfRule>
  </conditionalFormatting>
  <conditionalFormatting sqref="E3:E500">
    <cfRule type="expression" priority="1" dxfId="2">
      <formula>AND(COUNTIF($E$3:$E$500,E3)&gt;1,E3&gt;=45000,E3&lt;50000)</formula>
    </cfRule>
  </conditionalFormatting>
  <pageMargins left="0.75" right="0.75" top="1" bottom="1" header="0.5" footer="0.5"/>
</worksheet>
</file>

<file path=xl/worksheets/sheet2.xml><?xml version="1.0" encoding="utf-8"?>
<worksheet xmlns="http://schemas.openxmlformats.org/spreadsheetml/2006/main">
  <sheetPr>
    <tabColor rgb="FF375623"/>
    <outlinePr summaryBelow="1" summaryRight="1"/>
    <pageSetUpPr/>
  </sheetPr>
  <dimension ref="A1:F45"/>
  <sheetViews>
    <sheetView workbookViewId="0">
      <pane ySplit="2" topLeftCell="A3" activePane="bottomLeft" state="frozen"/>
      <selection pane="bottomLeft" activeCell="A1" sqref="A1:F1"/>
    </sheetView>
  </sheetViews>
  <sheetFormatPr baseColWidth="8" defaultRowHeight="15"/>
  <cols>
    <col width="10" customWidth="1" style="23" min="1" max="1"/>
    <col width="32" customWidth="1" style="23" min="2" max="2"/>
    <col width="22" customWidth="1" style="23" min="3" max="3"/>
    <col width="16" customWidth="1" style="23" min="4" max="4"/>
    <col width="22" customWidth="1" style="23" min="5" max="5"/>
    <col width="16" customWidth="1" style="23" min="6" max="6"/>
  </cols>
  <sheetData>
    <row r="1" ht="30" customHeight="1" s="23">
      <c r="A1" s="22" t="inlineStr">
        <is>
          <t>APPROVED VENDOR MASTER LIST  |  Procurement &amp; Finance Department</t>
        </is>
      </c>
    </row>
    <row r="2">
      <c r="A2" s="1" t="inlineStr">
        <is>
          <t>Vendor_ID</t>
        </is>
      </c>
      <c r="B2" s="1" t="inlineStr">
        <is>
          <t>Vendor Name</t>
        </is>
      </c>
      <c r="C2" s="1" t="inlineStr">
        <is>
          <t>Category</t>
        </is>
      </c>
      <c r="D2" s="1" t="inlineStr">
        <is>
          <t>NTN Number</t>
        </is>
      </c>
      <c r="E2" s="1" t="inlineStr">
        <is>
          <t>Contact Person</t>
        </is>
      </c>
      <c r="F2" s="1" t="inlineStr">
        <is>
          <t>Status</t>
        </is>
      </c>
    </row>
    <row r="3">
      <c r="A3" s="8" t="inlineStr">
        <is>
          <t>V-001</t>
        </is>
      </c>
      <c r="B3" s="2" t="inlineStr">
        <is>
          <t>Systems Limited</t>
        </is>
      </c>
      <c r="C3" s="8" t="inlineStr">
        <is>
          <t>Software License</t>
        </is>
      </c>
      <c r="D3" s="8" t="inlineStr">
        <is>
          <t>NTN-0123456</t>
        </is>
      </c>
      <c r="E3" s="2" t="inlineStr">
        <is>
          <t>Ali Hassan</t>
        </is>
      </c>
      <c r="F3" s="8" t="inlineStr">
        <is>
          <t>✅ Approved</t>
        </is>
      </c>
    </row>
    <row r="4">
      <c r="A4" s="9" t="inlineStr">
        <is>
          <t>V-002</t>
        </is>
      </c>
      <c r="B4" s="5" t="inlineStr">
        <is>
          <t>NetSol Technologies</t>
        </is>
      </c>
      <c r="C4" s="9" t="inlineStr">
        <is>
          <t>Software License</t>
        </is>
      </c>
      <c r="D4" s="9" t="inlineStr">
        <is>
          <t>NTN-0234567</t>
        </is>
      </c>
      <c r="E4" s="5" t="inlineStr">
        <is>
          <t>Sana Raza</t>
        </is>
      </c>
      <c r="F4" s="9" t="inlineStr">
        <is>
          <t>✅ Approved</t>
        </is>
      </c>
    </row>
    <row r="5">
      <c r="A5" s="8" t="inlineStr">
        <is>
          <t>V-003</t>
        </is>
      </c>
      <c r="B5" s="2" t="inlineStr">
        <is>
          <t>TechAccess Pakistan</t>
        </is>
      </c>
      <c r="C5" s="8" t="inlineStr">
        <is>
          <t>Hardware</t>
        </is>
      </c>
      <c r="D5" s="8" t="inlineStr">
        <is>
          <t>NTN-0345678</t>
        </is>
      </c>
      <c r="E5" s="2" t="inlineStr">
        <is>
          <t>Omar Sheikh</t>
        </is>
      </c>
      <c r="F5" s="8" t="inlineStr">
        <is>
          <t>✅ Approved</t>
        </is>
      </c>
    </row>
    <row r="6">
      <c r="A6" s="9" t="inlineStr">
        <is>
          <t>V-004</t>
        </is>
      </c>
      <c r="B6" s="5" t="inlineStr">
        <is>
          <t>Inbox Business Technologies</t>
        </is>
      </c>
      <c r="C6" s="9" t="inlineStr">
        <is>
          <t>IT Services</t>
        </is>
      </c>
      <c r="D6" s="9" t="inlineStr">
        <is>
          <t>NTN-0456789</t>
        </is>
      </c>
      <c r="E6" s="5" t="inlineStr">
        <is>
          <t>Hira Baig</t>
        </is>
      </c>
      <c r="F6" s="9" t="inlineStr">
        <is>
          <t>✅ Approved</t>
        </is>
      </c>
    </row>
    <row r="7">
      <c r="A7" s="8" t="inlineStr">
        <is>
          <t>V-005</t>
        </is>
      </c>
      <c r="B7" s="2" t="inlineStr">
        <is>
          <t>IBM Pakistan</t>
        </is>
      </c>
      <c r="C7" s="8" t="inlineStr">
        <is>
          <t>IT Services</t>
        </is>
      </c>
      <c r="D7" s="8" t="inlineStr">
        <is>
          <t>NTN-0567890</t>
        </is>
      </c>
      <c r="E7" s="2" t="inlineStr">
        <is>
          <t>Kamran Ali</t>
        </is>
      </c>
      <c r="F7" s="8" t="inlineStr">
        <is>
          <t>✅ Approved</t>
        </is>
      </c>
    </row>
    <row r="8">
      <c r="A8" s="9" t="inlineStr">
        <is>
          <t>V-006</t>
        </is>
      </c>
      <c r="B8" s="5" t="inlineStr">
        <is>
          <t>Oracle Pakistan Pvt Ltd</t>
        </is>
      </c>
      <c r="C8" s="9" t="inlineStr">
        <is>
          <t>Software License</t>
        </is>
      </c>
      <c r="D8" s="9" t="inlineStr">
        <is>
          <t>NTN-0678901</t>
        </is>
      </c>
      <c r="E8" s="5" t="inlineStr">
        <is>
          <t>Nadia Iqbal</t>
        </is>
      </c>
      <c r="F8" s="9" t="inlineStr">
        <is>
          <t>✅ Approved</t>
        </is>
      </c>
    </row>
    <row r="9">
      <c r="A9" s="8" t="inlineStr">
        <is>
          <t>V-007</t>
        </is>
      </c>
      <c r="B9" s="2" t="inlineStr">
        <is>
          <t>Microsoft Pakistan</t>
        </is>
      </c>
      <c r="C9" s="8" t="inlineStr">
        <is>
          <t>Software License</t>
        </is>
      </c>
      <c r="D9" s="8" t="inlineStr">
        <is>
          <t>NTN-0789012</t>
        </is>
      </c>
      <c r="E9" s="2" t="inlineStr">
        <is>
          <t>Faisal Mahmood</t>
        </is>
      </c>
      <c r="F9" s="8" t="inlineStr">
        <is>
          <t>✅ Approved</t>
        </is>
      </c>
    </row>
    <row r="10">
      <c r="A10" s="9" t="inlineStr">
        <is>
          <t>V-008</t>
        </is>
      </c>
      <c r="B10" s="5" t="inlineStr">
        <is>
          <t>Cisco Systems Pakistan</t>
        </is>
      </c>
      <c r="C10" s="9" t="inlineStr">
        <is>
          <t>Hardware</t>
        </is>
      </c>
      <c r="D10" s="9" t="inlineStr">
        <is>
          <t>NTN-0890123</t>
        </is>
      </c>
      <c r="E10" s="5" t="inlineStr">
        <is>
          <t>Amna Tahir</t>
        </is>
      </c>
      <c r="F10" s="9" t="inlineStr">
        <is>
          <t>✅ Approved</t>
        </is>
      </c>
    </row>
    <row r="11">
      <c r="A11" s="8" t="inlineStr">
        <is>
          <t>V-009</t>
        </is>
      </c>
      <c r="B11" s="2" t="inlineStr">
        <is>
          <t>Mobilink (Jazz)</t>
        </is>
      </c>
      <c r="C11" s="8" t="inlineStr">
        <is>
          <t>Telecom</t>
        </is>
      </c>
      <c r="D11" s="8" t="inlineStr">
        <is>
          <t>NTN-0901234</t>
        </is>
      </c>
      <c r="E11" s="2" t="inlineStr">
        <is>
          <t>Usman Javed</t>
        </is>
      </c>
      <c r="F11" s="8" t="inlineStr">
        <is>
          <t>✅ Approved</t>
        </is>
      </c>
    </row>
    <row r="12">
      <c r="A12" s="9" t="inlineStr">
        <is>
          <t>V-010</t>
        </is>
      </c>
      <c r="B12" s="5" t="inlineStr">
        <is>
          <t>Telenor Pakistan</t>
        </is>
      </c>
      <c r="C12" s="9" t="inlineStr">
        <is>
          <t>Telecom</t>
        </is>
      </c>
      <c r="D12" s="9" t="inlineStr">
        <is>
          <t>NTN-1012345</t>
        </is>
      </c>
      <c r="E12" s="5" t="inlineStr">
        <is>
          <t>Sara Malik</t>
        </is>
      </c>
      <c r="F12" s="9" t="inlineStr">
        <is>
          <t>✅ Approved</t>
        </is>
      </c>
    </row>
    <row r="13">
      <c r="A13" s="8" t="inlineStr">
        <is>
          <t>V-011</t>
        </is>
      </c>
      <c r="B13" s="2" t="inlineStr">
        <is>
          <t>PTCL Corporate</t>
        </is>
      </c>
      <c r="C13" s="8" t="inlineStr">
        <is>
          <t>Telecom</t>
        </is>
      </c>
      <c r="D13" s="8" t="inlineStr">
        <is>
          <t>NTN-1123456</t>
        </is>
      </c>
      <c r="E13" s="2" t="inlineStr">
        <is>
          <t>Bilal Khan</t>
        </is>
      </c>
      <c r="F13" s="8" t="inlineStr">
        <is>
          <t>✅ Approved</t>
        </is>
      </c>
    </row>
    <row r="14">
      <c r="A14" s="9" t="inlineStr">
        <is>
          <t>V-012</t>
        </is>
      </c>
      <c r="B14" s="5" t="inlineStr">
        <is>
          <t>Zong Business</t>
        </is>
      </c>
      <c r="C14" s="9" t="inlineStr">
        <is>
          <t>Telecom</t>
        </is>
      </c>
      <c r="D14" s="9" t="inlineStr">
        <is>
          <t>NTN-1234567</t>
        </is>
      </c>
      <c r="E14" s="5" t="inlineStr">
        <is>
          <t>Rizwan Ahmed</t>
        </is>
      </c>
      <c r="F14" s="9" t="inlineStr">
        <is>
          <t>✅ Approved</t>
        </is>
      </c>
    </row>
    <row r="15">
      <c r="A15" s="8" t="inlineStr">
        <is>
          <t>V-013</t>
        </is>
      </c>
      <c r="B15" s="2" t="inlineStr">
        <is>
          <t>Ufone Corporate</t>
        </is>
      </c>
      <c r="C15" s="8" t="inlineStr">
        <is>
          <t>Telecom</t>
        </is>
      </c>
      <c r="D15" s="8" t="inlineStr">
        <is>
          <t>NTN-1345678</t>
        </is>
      </c>
      <c r="E15" s="2" t="inlineStr">
        <is>
          <t>Ayesha Zafar</t>
        </is>
      </c>
      <c r="F15" s="8" t="inlineStr">
        <is>
          <t>✅ Approved</t>
        </is>
      </c>
    </row>
    <row r="16">
      <c r="A16" s="9" t="inlineStr">
        <is>
          <t>V-014</t>
        </is>
      </c>
      <c r="B16" s="5" t="inlineStr">
        <is>
          <t>Allied Bank Limited</t>
        </is>
      </c>
      <c r="C16" s="9" t="inlineStr">
        <is>
          <t>Banking Services</t>
        </is>
      </c>
      <c r="D16" s="9" t="inlineStr">
        <is>
          <t>NTN-1456789</t>
        </is>
      </c>
      <c r="E16" s="5" t="inlineStr">
        <is>
          <t>Hassan Mirza</t>
        </is>
      </c>
      <c r="F16" s="9" t="inlineStr">
        <is>
          <t>✅ Approved</t>
        </is>
      </c>
    </row>
    <row r="17">
      <c r="A17" s="8" t="inlineStr">
        <is>
          <t>V-015</t>
        </is>
      </c>
      <c r="B17" s="2" t="inlineStr">
        <is>
          <t>MCB Bank Ltd</t>
        </is>
      </c>
      <c r="C17" s="8" t="inlineStr">
        <is>
          <t>Banking Services</t>
        </is>
      </c>
      <c r="D17" s="8" t="inlineStr">
        <is>
          <t>NTN-1567890</t>
        </is>
      </c>
      <c r="E17" s="2" t="inlineStr">
        <is>
          <t>Zainab Shah</t>
        </is>
      </c>
      <c r="F17" s="8" t="inlineStr">
        <is>
          <t>✅ Approved</t>
        </is>
      </c>
    </row>
    <row r="18">
      <c r="A18" s="9" t="inlineStr">
        <is>
          <t>V-016</t>
        </is>
      </c>
      <c r="B18" s="5" t="inlineStr">
        <is>
          <t>HBL Corporate</t>
        </is>
      </c>
      <c r="C18" s="9" t="inlineStr">
        <is>
          <t>Banking Services</t>
        </is>
      </c>
      <c r="D18" s="9" t="inlineStr">
        <is>
          <t>NTN-1678901</t>
        </is>
      </c>
      <c r="E18" s="5" t="inlineStr">
        <is>
          <t>Tariq Butt</t>
        </is>
      </c>
      <c r="F18" s="9" t="inlineStr">
        <is>
          <t>✅ Approved</t>
        </is>
      </c>
    </row>
    <row r="19">
      <c r="A19" s="8" t="inlineStr">
        <is>
          <t>V-017</t>
        </is>
      </c>
      <c r="B19" s="2" t="inlineStr">
        <is>
          <t>Meezan Bank Ltd</t>
        </is>
      </c>
      <c r="C19" s="8" t="inlineStr">
        <is>
          <t>Banking Services</t>
        </is>
      </c>
      <c r="D19" s="8" t="inlineStr">
        <is>
          <t>NTN-1789012</t>
        </is>
      </c>
      <c r="E19" s="2" t="inlineStr">
        <is>
          <t>Mehwish Khan</t>
        </is>
      </c>
      <c r="F19" s="8" t="inlineStr">
        <is>
          <t>✅ Approved</t>
        </is>
      </c>
    </row>
    <row r="20">
      <c r="A20" s="9" t="inlineStr">
        <is>
          <t>V-018</t>
        </is>
      </c>
      <c r="B20" s="5" t="inlineStr">
        <is>
          <t>UBL Corporate</t>
        </is>
      </c>
      <c r="C20" s="9" t="inlineStr">
        <is>
          <t>Banking Services</t>
        </is>
      </c>
      <c r="D20" s="9" t="inlineStr">
        <is>
          <t>NTN-1890123</t>
        </is>
      </c>
      <c r="E20" s="5" t="inlineStr">
        <is>
          <t>Salman Ghori</t>
        </is>
      </c>
      <c r="F20" s="9" t="inlineStr">
        <is>
          <t>✅ Approved</t>
        </is>
      </c>
    </row>
    <row r="21">
      <c r="A21" s="8" t="inlineStr">
        <is>
          <t>V-019</t>
        </is>
      </c>
      <c r="B21" s="2" t="inlineStr">
        <is>
          <t>Deloitte Pakistan</t>
        </is>
      </c>
      <c r="C21" s="8" t="inlineStr">
        <is>
          <t>Audit &amp; Legal</t>
        </is>
      </c>
      <c r="D21" s="8" t="inlineStr">
        <is>
          <t>NTN-2012345</t>
        </is>
      </c>
      <c r="E21" s="2" t="inlineStr">
        <is>
          <t>Lubna Ahmed</t>
        </is>
      </c>
      <c r="F21" s="8" t="inlineStr">
        <is>
          <t>✅ Approved</t>
        </is>
      </c>
    </row>
    <row r="22">
      <c r="A22" s="9" t="inlineStr">
        <is>
          <t>V-020</t>
        </is>
      </c>
      <c r="B22" s="5" t="inlineStr">
        <is>
          <t>KPMG Taseer Hadi</t>
        </is>
      </c>
      <c r="C22" s="9" t="inlineStr">
        <is>
          <t>Audit &amp; Legal</t>
        </is>
      </c>
      <c r="D22" s="9" t="inlineStr">
        <is>
          <t>NTN-2123456</t>
        </is>
      </c>
      <c r="E22" s="5" t="inlineStr">
        <is>
          <t>Shahid Nisar</t>
        </is>
      </c>
      <c r="F22" s="9" t="inlineStr">
        <is>
          <t>✅ Approved</t>
        </is>
      </c>
    </row>
    <row r="23">
      <c r="A23" s="8" t="inlineStr">
        <is>
          <t>V-021</t>
        </is>
      </c>
      <c r="B23" s="2" t="inlineStr">
        <is>
          <t>EY Pakistan</t>
        </is>
      </c>
      <c r="C23" s="8" t="inlineStr">
        <is>
          <t>Audit &amp; Legal</t>
        </is>
      </c>
      <c r="D23" s="8" t="inlineStr">
        <is>
          <t>NTN-2234567</t>
        </is>
      </c>
      <c r="E23" s="2" t="inlineStr">
        <is>
          <t>Fareeha Baig</t>
        </is>
      </c>
      <c r="F23" s="8" t="inlineStr">
        <is>
          <t>✅ Approved</t>
        </is>
      </c>
    </row>
    <row r="24">
      <c r="A24" s="9" t="inlineStr">
        <is>
          <t>V-022</t>
        </is>
      </c>
      <c r="B24" s="5" t="inlineStr">
        <is>
          <t>PwC Pakistan</t>
        </is>
      </c>
      <c r="C24" s="9" t="inlineStr">
        <is>
          <t>Audit &amp; Legal</t>
        </is>
      </c>
      <c r="D24" s="9" t="inlineStr">
        <is>
          <t>NTN-2345678</t>
        </is>
      </c>
      <c r="E24" s="5" t="inlineStr">
        <is>
          <t>Iqbal Hussain</t>
        </is>
      </c>
      <c r="F24" s="9" t="inlineStr">
        <is>
          <t>✅ Approved</t>
        </is>
      </c>
    </row>
    <row r="25">
      <c r="A25" s="8" t="inlineStr">
        <is>
          <t>V-023</t>
        </is>
      </c>
      <c r="B25" s="2" t="inlineStr">
        <is>
          <t>Axis Law Chambers</t>
        </is>
      </c>
      <c r="C25" s="8" t="inlineStr">
        <is>
          <t>Legal Services</t>
        </is>
      </c>
      <c r="D25" s="8" t="inlineStr">
        <is>
          <t>NTN-2456780</t>
        </is>
      </c>
      <c r="E25" s="2" t="inlineStr">
        <is>
          <t>Advocate Raza</t>
        </is>
      </c>
      <c r="F25" s="8" t="inlineStr">
        <is>
          <t>✅ Approved</t>
        </is>
      </c>
    </row>
    <row r="26">
      <c r="A26" s="9" t="inlineStr">
        <is>
          <t>V-024</t>
        </is>
      </c>
      <c r="B26" s="5" t="inlineStr">
        <is>
          <t>Haidermota &amp; Co</t>
        </is>
      </c>
      <c r="C26" s="9" t="inlineStr">
        <is>
          <t>Legal Services</t>
        </is>
      </c>
      <c r="D26" s="9" t="inlineStr">
        <is>
          <t>NTN-2567891</t>
        </is>
      </c>
      <c r="E26" s="5" t="inlineStr">
        <is>
          <t>Rukhsana Parveen</t>
        </is>
      </c>
      <c r="F26" s="9" t="inlineStr">
        <is>
          <t>✅ Approved</t>
        </is>
      </c>
    </row>
    <row r="27">
      <c r="A27" s="8" t="inlineStr">
        <is>
          <t>V-025</t>
        </is>
      </c>
      <c r="B27" s="2" t="inlineStr">
        <is>
          <t>TCS Couriers</t>
        </is>
      </c>
      <c r="C27" s="8" t="inlineStr">
        <is>
          <t>Courier &amp; Logistics</t>
        </is>
      </c>
      <c r="D27" s="8" t="inlineStr">
        <is>
          <t>NTN-1901234</t>
        </is>
      </c>
      <c r="E27" s="2" t="inlineStr">
        <is>
          <t>Col. Anwar (R)</t>
        </is>
      </c>
      <c r="F27" s="8" t="inlineStr">
        <is>
          <t>✅ Approved</t>
        </is>
      </c>
    </row>
    <row r="28">
      <c r="A28" s="9" t="inlineStr">
        <is>
          <t>V-026</t>
        </is>
      </c>
      <c r="B28" s="5" t="inlineStr">
        <is>
          <t>DHL Pakistan</t>
        </is>
      </c>
      <c r="C28" s="9" t="inlineStr">
        <is>
          <t>Courier &amp; Logistics</t>
        </is>
      </c>
      <c r="D28" s="9" t="inlineStr">
        <is>
          <t>NTN-2012346</t>
        </is>
      </c>
      <c r="E28" s="5" t="inlineStr">
        <is>
          <t>Amjad Hussain</t>
        </is>
      </c>
      <c r="F28" s="9" t="inlineStr">
        <is>
          <t>✅ Approved</t>
        </is>
      </c>
    </row>
    <row r="29">
      <c r="A29" s="8" t="inlineStr">
        <is>
          <t>V-027</t>
        </is>
      </c>
      <c r="B29" s="2" t="inlineStr">
        <is>
          <t>Leopards Courier</t>
        </is>
      </c>
      <c r="C29" s="8" t="inlineStr">
        <is>
          <t>Courier &amp; Logistics</t>
        </is>
      </c>
      <c r="D29" s="8" t="inlineStr">
        <is>
          <t>NTN-2123457</t>
        </is>
      </c>
      <c r="E29" s="2" t="inlineStr">
        <is>
          <t>Sobia Nawaz</t>
        </is>
      </c>
      <c r="F29" s="8" t="inlineStr">
        <is>
          <t>✅ Approved</t>
        </is>
      </c>
    </row>
    <row r="30">
      <c r="A30" s="9" t="inlineStr">
        <is>
          <t>V-028</t>
        </is>
      </c>
      <c r="B30" s="5" t="inlineStr">
        <is>
          <t>FedEx Pakistan</t>
        </is>
      </c>
      <c r="C30" s="9" t="inlineStr">
        <is>
          <t>Courier &amp; Logistics</t>
        </is>
      </c>
      <c r="D30" s="9" t="inlineStr">
        <is>
          <t>NTN-2234568</t>
        </is>
      </c>
      <c r="E30" s="5" t="inlineStr">
        <is>
          <t>Tariq Mehmood</t>
        </is>
      </c>
      <c r="F30" s="9" t="inlineStr">
        <is>
          <t>✅ Approved</t>
        </is>
      </c>
    </row>
    <row r="31">
      <c r="A31" s="8" t="inlineStr">
        <is>
          <t>V-029</t>
        </is>
      </c>
      <c r="B31" s="2" t="inlineStr">
        <is>
          <t>National Logistic Cell</t>
        </is>
      </c>
      <c r="C31" s="8" t="inlineStr">
        <is>
          <t>Courier &amp; Logistics</t>
        </is>
      </c>
      <c r="D31" s="8" t="inlineStr">
        <is>
          <t>NTN-2345679</t>
        </is>
      </c>
      <c r="E31" s="2" t="inlineStr">
        <is>
          <t>Brig. Saeed (R)</t>
        </is>
      </c>
      <c r="F31" s="8" t="inlineStr">
        <is>
          <t>✅ Approved</t>
        </is>
      </c>
    </row>
    <row r="32">
      <c r="A32" s="9" t="inlineStr">
        <is>
          <t>V-030</t>
        </is>
      </c>
      <c r="B32" s="5" t="inlineStr">
        <is>
          <t>Mashaal Movers</t>
        </is>
      </c>
      <c r="C32" s="9" t="inlineStr">
        <is>
          <t>Courier &amp; Logistics</t>
        </is>
      </c>
      <c r="D32" s="9" t="inlineStr">
        <is>
          <t>NTN-2456790</t>
        </is>
      </c>
      <c r="E32" s="5" t="inlineStr">
        <is>
          <t>Kashif Ali</t>
        </is>
      </c>
      <c r="F32" s="9" t="inlineStr">
        <is>
          <t>✅ Approved</t>
        </is>
      </c>
    </row>
    <row r="33">
      <c r="A33" s="8" t="inlineStr">
        <is>
          <t>V-031</t>
        </is>
      </c>
      <c r="B33" s="2" t="inlineStr">
        <is>
          <t>Pearl Continental Karachi</t>
        </is>
      </c>
      <c r="C33" s="8" t="inlineStr">
        <is>
          <t>Travel &amp; Accommodation</t>
        </is>
      </c>
      <c r="D33" s="8" t="inlineStr">
        <is>
          <t>NTN-2123458</t>
        </is>
      </c>
      <c r="E33" s="2" t="inlineStr">
        <is>
          <t>Zubair Ahmed</t>
        </is>
      </c>
      <c r="F33" s="8" t="inlineStr">
        <is>
          <t>✅ Approved</t>
        </is>
      </c>
    </row>
    <row r="34">
      <c r="A34" s="9" t="inlineStr">
        <is>
          <t>V-032</t>
        </is>
      </c>
      <c r="B34" s="5" t="inlineStr">
        <is>
          <t>Marriott Islamabad</t>
        </is>
      </c>
      <c r="C34" s="9" t="inlineStr">
        <is>
          <t>Travel &amp; Accommodation</t>
        </is>
      </c>
      <c r="D34" s="9" t="inlineStr">
        <is>
          <t>NTN-2234569</t>
        </is>
      </c>
      <c r="E34" s="5" t="inlineStr">
        <is>
          <t>Nadia Hassan</t>
        </is>
      </c>
      <c r="F34" s="9" t="inlineStr">
        <is>
          <t>✅ Approved</t>
        </is>
      </c>
    </row>
    <row r="35">
      <c r="A35" s="8" t="inlineStr">
        <is>
          <t>V-033</t>
        </is>
      </c>
      <c r="B35" s="2" t="inlineStr">
        <is>
          <t>Serena Hotel Lahore</t>
        </is>
      </c>
      <c r="C35" s="8" t="inlineStr">
        <is>
          <t>Travel &amp; Accommodation</t>
        </is>
      </c>
      <c r="D35" s="8" t="inlineStr">
        <is>
          <t>NTN-2345670</t>
        </is>
      </c>
      <c r="E35" s="2" t="inlineStr">
        <is>
          <t>Imran Siddiqui</t>
        </is>
      </c>
      <c r="F35" s="8" t="inlineStr">
        <is>
          <t>✅ Approved</t>
        </is>
      </c>
    </row>
    <row r="36">
      <c r="A36" s="9" t="inlineStr">
        <is>
          <t>V-034</t>
        </is>
      </c>
      <c r="B36" s="5" t="inlineStr">
        <is>
          <t>Avari Towers</t>
        </is>
      </c>
      <c r="C36" s="9" t="inlineStr">
        <is>
          <t>Travel &amp; Accommodation</t>
        </is>
      </c>
      <c r="D36" s="9" t="inlineStr">
        <is>
          <t>NTN-2456791</t>
        </is>
      </c>
      <c r="E36" s="5" t="inlineStr">
        <is>
          <t>Maryam Qureshi</t>
        </is>
      </c>
      <c r="F36" s="9" t="inlineStr">
        <is>
          <t>✅ Approved</t>
        </is>
      </c>
    </row>
    <row r="37">
      <c r="A37" s="8" t="inlineStr">
        <is>
          <t>V-035</t>
        </is>
      </c>
      <c r="B37" s="2" t="inlineStr">
        <is>
          <t>Al-Fatah Electronics</t>
        </is>
      </c>
      <c r="C37" s="8" t="inlineStr">
        <is>
          <t>Office Supplies</t>
        </is>
      </c>
      <c r="D37" s="8" t="inlineStr">
        <is>
          <t>NTN-2567892</t>
        </is>
      </c>
      <c r="E37" s="2" t="inlineStr">
        <is>
          <t>Junaid Malik</t>
        </is>
      </c>
      <c r="F37" s="8" t="inlineStr">
        <is>
          <t>✅ Approved</t>
        </is>
      </c>
    </row>
    <row r="38">
      <c r="A38" s="9" t="inlineStr">
        <is>
          <t>V-036</t>
        </is>
      </c>
      <c r="B38" s="5" t="inlineStr">
        <is>
          <t>Metro Cash &amp; Carry</t>
        </is>
      </c>
      <c r="C38" s="9" t="inlineStr">
        <is>
          <t>Office Supplies</t>
        </is>
      </c>
      <c r="D38" s="9" t="inlineStr">
        <is>
          <t>NTN-2678901</t>
        </is>
      </c>
      <c r="E38" s="5" t="inlineStr">
        <is>
          <t>Asim Butt</t>
        </is>
      </c>
      <c r="F38" s="9" t="inlineStr">
        <is>
          <t>✅ Approved</t>
        </is>
      </c>
    </row>
    <row r="39">
      <c r="A39" s="8" t="inlineStr">
        <is>
          <t>V-037</t>
        </is>
      </c>
      <c r="B39" s="2" t="inlineStr">
        <is>
          <t>Hafeez Centre Dealers</t>
        </is>
      </c>
      <c r="C39" s="8" t="inlineStr">
        <is>
          <t>Hardware</t>
        </is>
      </c>
      <c r="D39" s="8" t="inlineStr">
        <is>
          <t>NTN-2789012</t>
        </is>
      </c>
      <c r="E39" s="2" t="inlineStr">
        <is>
          <t>Waheed Akhtar</t>
        </is>
      </c>
      <c r="F39" s="8" t="inlineStr">
        <is>
          <t>✅ Approved</t>
        </is>
      </c>
    </row>
    <row r="40">
      <c r="A40" s="9" t="inlineStr">
        <is>
          <t>V-038</t>
        </is>
      </c>
      <c r="B40" s="5" t="inlineStr">
        <is>
          <t>Pak Elektron Limited</t>
        </is>
      </c>
      <c r="C40" s="9" t="inlineStr">
        <is>
          <t>Hardware</t>
        </is>
      </c>
      <c r="D40" s="9" t="inlineStr">
        <is>
          <t>NTN-2890123</t>
        </is>
      </c>
      <c r="E40" s="5" t="inlineStr">
        <is>
          <t>Shafiq Rehman</t>
        </is>
      </c>
      <c r="F40" s="9" t="inlineStr">
        <is>
          <t>✅ Approved</t>
        </is>
      </c>
    </row>
    <row r="41">
      <c r="A41" s="8" t="inlineStr">
        <is>
          <t>V-039</t>
        </is>
      </c>
      <c r="B41" s="2" t="inlineStr">
        <is>
          <t>Singer Pakistan</t>
        </is>
      </c>
      <c r="C41" s="8" t="inlineStr">
        <is>
          <t>Office Supplies</t>
        </is>
      </c>
      <c r="D41" s="8" t="inlineStr">
        <is>
          <t>NTN-2901234</t>
        </is>
      </c>
      <c r="E41" s="2" t="inlineStr">
        <is>
          <t>Noman Iqbal</t>
        </is>
      </c>
      <c r="F41" s="8" t="inlineStr">
        <is>
          <t>✅ Approved</t>
        </is>
      </c>
    </row>
    <row r="42">
      <c r="A42" s="9" t="inlineStr">
        <is>
          <t>V-040</t>
        </is>
      </c>
      <c r="B42" s="5" t="inlineStr">
        <is>
          <t>Punjab Beverages</t>
        </is>
      </c>
      <c r="C42" s="9" t="inlineStr">
        <is>
          <t>Office Supplies</t>
        </is>
      </c>
      <c r="D42" s="9" t="inlineStr">
        <is>
          <t>NTN-3012345</t>
        </is>
      </c>
      <c r="E42" s="5" t="inlineStr">
        <is>
          <t>Adeel Khan</t>
        </is>
      </c>
      <c r="F42" s="9" t="inlineStr">
        <is>
          <t>✅ Approved</t>
        </is>
      </c>
    </row>
    <row r="43">
      <c r="A43" s="8" t="inlineStr">
        <is>
          <t>V-041</t>
        </is>
      </c>
      <c r="B43" s="2" t="inlineStr">
        <is>
          <t>Nestle Pakistan</t>
        </is>
      </c>
      <c r="C43" s="8" t="inlineStr">
        <is>
          <t>Office Supplies</t>
        </is>
      </c>
      <c r="D43" s="8" t="inlineStr">
        <is>
          <t>NTN-3123456</t>
        </is>
      </c>
      <c r="E43" s="2" t="inlineStr">
        <is>
          <t>Fiza Malik</t>
        </is>
      </c>
      <c r="F43" s="8" t="inlineStr">
        <is>
          <t>✅ Approved</t>
        </is>
      </c>
    </row>
    <row r="44">
      <c r="A44" s="9" t="inlineStr">
        <is>
          <t>V-042</t>
        </is>
      </c>
      <c r="B44" s="5" t="inlineStr">
        <is>
          <t>Teradata Pakistan</t>
        </is>
      </c>
      <c r="C44" s="9" t="inlineStr">
        <is>
          <t>IT Services</t>
        </is>
      </c>
      <c r="D44" s="9" t="inlineStr">
        <is>
          <t>NTN-2456789</t>
        </is>
      </c>
      <c r="E44" s="5" t="inlineStr">
        <is>
          <t>Zahid Mehmood</t>
        </is>
      </c>
      <c r="F44" s="9" t="inlineStr">
        <is>
          <t>✅ Approved</t>
        </is>
      </c>
    </row>
    <row r="45">
      <c r="A45" s="8" t="inlineStr">
        <is>
          <t>V-043</t>
        </is>
      </c>
      <c r="B45" s="2" t="inlineStr">
        <is>
          <t>Zones Pakistan Pvt Ltd</t>
        </is>
      </c>
      <c r="C45" s="8" t="inlineStr">
        <is>
          <t>Hardware</t>
        </is>
      </c>
      <c r="D45" s="8" t="inlineStr">
        <is>
          <t>NTN-2567890</t>
        </is>
      </c>
      <c r="E45" s="2" t="inlineStr">
        <is>
          <t>Rabia Farooq</t>
        </is>
      </c>
      <c r="F45" s="8" t="inlineStr">
        <is>
          <t>✅ Approved</t>
        </is>
      </c>
    </row>
  </sheetData>
  <mergeCells count="1">
    <mergeCell ref="A1:F1"/>
  </mergeCells>
  <pageMargins left="0.75" right="0.75" top="1" bottom="1" header="0.5" footer="0.5"/>
</worksheet>
</file>

<file path=xl/worksheets/sheet3.xml><?xml version="1.0" encoding="utf-8"?>
<worksheet xmlns="http://schemas.openxmlformats.org/spreadsheetml/2006/main">
  <sheetPr>
    <tabColor rgb="FF7030A0"/>
    <outlinePr summaryBelow="1" summaryRight="1"/>
    <pageSetUpPr/>
  </sheetPr>
  <dimension ref="A1:J60"/>
  <sheetViews>
    <sheetView workbookViewId="0">
      <pane ySplit="2" topLeftCell="A54" activePane="bottomLeft" state="frozen"/>
      <selection pane="bottomLeft" activeCell="J55" sqref="J55"/>
    </sheetView>
  </sheetViews>
  <sheetFormatPr baseColWidth="8" defaultRowHeight="15"/>
  <cols>
    <col width="5" customWidth="1" style="23" min="1" max="1"/>
    <col width="9" customWidth="1" style="23" min="2" max="2"/>
    <col width="12" customWidth="1" style="23" min="3" max="4"/>
    <col width="13" customWidth="1" style="23" min="4" max="4"/>
    <col width="26" customWidth="1" style="23" min="5" max="5"/>
    <col width="14" customWidth="1" style="23" min="6" max="6"/>
    <col width="24" customWidth="1" style="23" min="7" max="7"/>
    <col width="14" customWidth="1" style="23" min="8" max="8"/>
    <col width="16" customWidth="1" style="23" min="9" max="9"/>
    <col width="40" bestFit="1" customWidth="1" style="23" min="10" max="10"/>
  </cols>
  <sheetData>
    <row r="1" ht="30" customHeight="1" s="23">
      <c r="A1" s="22" t="inlineStr">
        <is>
          <t xml:space="preserve">AUDIT SAMPLING SHEET — FY 2024-25  </t>
        </is>
      </c>
    </row>
    <row r="2"/>
    <row r="3">
      <c r="A3" s="24" t="inlineStr">
        <is>
          <t xml:space="preserve">RANDOM SAMPLE (40 Transactions)  </t>
        </is>
      </c>
    </row>
    <row r="4"/>
    <row r="5">
      <c r="A5" s="43" t="inlineStr">
        <is>
          <t>#</t>
        </is>
      </c>
      <c r="B5" s="43" t="inlineStr">
        <is>
          <t>Row No.</t>
        </is>
      </c>
      <c r="C5" s="43" t="inlineStr">
        <is>
          <t>Txn_ID</t>
        </is>
      </c>
      <c r="D5" s="43" t="inlineStr">
        <is>
          <t>Date</t>
        </is>
      </c>
      <c r="E5" s="43" t="inlineStr">
        <is>
          <t>Vendor Name</t>
        </is>
      </c>
      <c r="F5" s="43" t="inlineStr">
        <is>
          <t>Amount (PKR)</t>
        </is>
      </c>
      <c r="G5" s="43" t="inlineStr">
        <is>
          <t>Approved By</t>
        </is>
      </c>
      <c r="H5" s="43" t="inlineStr">
        <is>
          <t>Invoice No.</t>
        </is>
      </c>
      <c r="I5" s="43" t="inlineStr">
        <is>
          <t>Vendor Status</t>
        </is>
      </c>
      <c r="J5" s="43" t="inlineStr">
        <is>
          <t>Auditor Remarks</t>
        </is>
      </c>
    </row>
    <row r="6">
      <c r="A6" s="11" t="n">
        <v>1</v>
      </c>
      <c r="B6" s="20" t="n">
        <v>452</v>
      </c>
      <c r="C6" s="5" t="inlineStr">
        <is>
          <t>TXN0450</t>
        </is>
      </c>
      <c r="D6" s="6" t="n">
        <v>45545</v>
      </c>
      <c r="E6" s="5" t="inlineStr">
        <is>
          <t>Meezan Bank Ltd</t>
        </is>
      </c>
      <c r="F6" s="7" t="n">
        <v>38166</v>
      </c>
      <c r="G6" s="5" t="inlineStr">
        <is>
          <t>Bilal Khan (Head Ops)</t>
        </is>
      </c>
      <c r="H6" s="44" t="inlineStr">
        <is>
          <t>INV-53036</t>
        </is>
      </c>
      <c r="I6" s="45" t="inlineStr">
        <is>
          <t>✅ Approved</t>
        </is>
      </c>
      <c r="J6" s="46" t="inlineStr">
        <is>
          <t>No issues noted</t>
        </is>
      </c>
    </row>
    <row r="7">
      <c r="A7" s="11" t="n">
        <v>2</v>
      </c>
      <c r="B7" s="20" t="n">
        <v>294</v>
      </c>
      <c r="C7" s="5" t="inlineStr">
        <is>
          <t>TXN0292</t>
        </is>
      </c>
      <c r="D7" s="6" t="n">
        <v>45488</v>
      </c>
      <c r="E7" s="5" t="inlineStr">
        <is>
          <t>Singer Pakistan</t>
        </is>
      </c>
      <c r="F7" s="7" t="n">
        <v>26005</v>
      </c>
      <c r="G7" s="5" t="inlineStr">
        <is>
          <t>Usman Tariq (Finance Manager)</t>
        </is>
      </c>
      <c r="H7" s="47" t="inlineStr">
        <is>
          <t>INV-84720</t>
        </is>
      </c>
      <c r="I7" s="45" t="inlineStr">
        <is>
          <t>✅ Approved</t>
        </is>
      </c>
      <c r="J7" s="46" t="inlineStr">
        <is>
          <t>No issues noted</t>
        </is>
      </c>
    </row>
    <row r="8">
      <c r="A8" s="11" t="n">
        <v>3</v>
      </c>
      <c r="B8" s="20" t="n">
        <v>495</v>
      </c>
      <c r="C8" s="2" t="inlineStr">
        <is>
          <t>TXN0493</t>
        </is>
      </c>
      <c r="D8" s="3" t="n">
        <v>45644</v>
      </c>
      <c r="E8" s="2" t="inlineStr">
        <is>
          <t>Al-Fatah Electronics</t>
        </is>
      </c>
      <c r="F8" s="4" t="n">
        <v>48008</v>
      </c>
      <c r="G8" s="2" t="inlineStr">
        <is>
          <t>Bilal Khan (Head Ops)</t>
        </is>
      </c>
      <c r="H8" s="44" t="inlineStr">
        <is>
          <t>INV-39110</t>
        </is>
      </c>
      <c r="I8" s="45" t="inlineStr">
        <is>
          <t>✅ Approved</t>
        </is>
      </c>
      <c r="J8" s="46" t="inlineStr">
        <is>
          <t>No issues noted</t>
        </is>
      </c>
    </row>
    <row r="9">
      <c r="A9" s="11" t="n">
        <v>4</v>
      </c>
      <c r="B9" s="20" t="n">
        <v>29</v>
      </c>
      <c r="C9" s="2" t="inlineStr">
        <is>
          <t>TXN0027</t>
        </is>
      </c>
      <c r="D9" s="3" t="n">
        <v>45408</v>
      </c>
      <c r="E9" s="2" t="inlineStr">
        <is>
          <t>Serena Hotel Lahore</t>
        </is>
      </c>
      <c r="F9" s="4" t="n">
        <v>118992</v>
      </c>
      <c r="G9" s="2" t="inlineStr">
        <is>
          <t>Zara Malik (CFO Office)</t>
        </is>
      </c>
      <c r="H9" s="47" t="inlineStr">
        <is>
          <t>INV-17455</t>
        </is>
      </c>
      <c r="I9" s="45" t="inlineStr">
        <is>
          <t>✅ Approved</t>
        </is>
      </c>
      <c r="J9" s="46" t="inlineStr">
        <is>
          <t>No issues noted</t>
        </is>
      </c>
    </row>
    <row r="10">
      <c r="A10" s="11" t="n">
        <v>5</v>
      </c>
      <c r="B10" s="20" t="n">
        <v>101</v>
      </c>
      <c r="C10" s="2" t="inlineStr">
        <is>
          <t>TXN0099</t>
        </is>
      </c>
      <c r="D10" s="3" t="n">
        <v>45702</v>
      </c>
      <c r="E10" s="2" t="inlineStr">
        <is>
          <t>IBM Pakistan</t>
        </is>
      </c>
      <c r="F10" s="4" t="n">
        <v>404289</v>
      </c>
      <c r="G10" s="2" t="inlineStr">
        <is>
          <t>Omer Saleem (CFO)</t>
        </is>
      </c>
      <c r="H10" s="44" t="inlineStr">
        <is>
          <t>INV-53065</t>
        </is>
      </c>
      <c r="I10" s="45" t="inlineStr">
        <is>
          <t>✅ Approved</t>
        </is>
      </c>
      <c r="J10" s="46" t="inlineStr">
        <is>
          <t>No issues noted</t>
        </is>
      </c>
    </row>
    <row r="11">
      <c r="A11" s="11" t="n">
        <v>6</v>
      </c>
      <c r="B11" s="20" t="n">
        <v>27</v>
      </c>
      <c r="C11" s="2" t="inlineStr">
        <is>
          <t>TXN0025</t>
        </is>
      </c>
      <c r="D11" s="3" t="n">
        <v>45413</v>
      </c>
      <c r="E11" s="2" t="inlineStr">
        <is>
          <t>Mashaal Movers</t>
        </is>
      </c>
      <c r="F11" s="4" t="n">
        <v>29425</v>
      </c>
      <c r="G11" s="2" t="inlineStr">
        <is>
          <t>Usman Tariq (Finance Manager)</t>
        </is>
      </c>
      <c r="H11" s="47" t="inlineStr">
        <is>
          <t>INV-10282</t>
        </is>
      </c>
      <c r="I11" s="45" t="inlineStr">
        <is>
          <t>✅ Approved</t>
        </is>
      </c>
      <c r="J11" s="46" t="inlineStr">
        <is>
          <t>No issues noted</t>
        </is>
      </c>
    </row>
    <row r="12">
      <c r="A12" s="11" t="n">
        <v>7</v>
      </c>
      <c r="B12" s="20" t="n">
        <v>490</v>
      </c>
      <c r="C12" s="5" t="inlineStr">
        <is>
          <t>TXN0488</t>
        </is>
      </c>
      <c r="D12" s="6" t="n">
        <v>45544</v>
      </c>
      <c r="E12" s="5" t="inlineStr">
        <is>
          <t>Singer Pakistan</t>
        </is>
      </c>
      <c r="F12" s="7" t="n">
        <v>60976</v>
      </c>
      <c r="G12" s="5" t="inlineStr">
        <is>
          <t>Zara Malik (CFO Office)</t>
        </is>
      </c>
      <c r="H12" s="44" t="inlineStr">
        <is>
          <t>INV-77699</t>
        </is>
      </c>
      <c r="I12" s="45" t="inlineStr">
        <is>
          <t>✅ Approved</t>
        </is>
      </c>
      <c r="J12" s="46" t="inlineStr">
        <is>
          <t>No issues noted</t>
        </is>
      </c>
    </row>
    <row r="13">
      <c r="A13" s="11" t="n">
        <v>8</v>
      </c>
      <c r="B13" s="20" t="n">
        <v>438</v>
      </c>
      <c r="C13" s="5" t="inlineStr">
        <is>
          <t>TXN0436</t>
        </is>
      </c>
      <c r="D13" s="6" t="n">
        <v>45560</v>
      </c>
      <c r="E13" s="5" t="inlineStr">
        <is>
          <t>Avari Towers</t>
        </is>
      </c>
      <c r="F13" s="7" t="n">
        <v>40033</v>
      </c>
      <c r="G13" s="5" t="inlineStr">
        <is>
          <t>Bilal Khan (Head Ops)</t>
        </is>
      </c>
      <c r="H13" s="47" t="inlineStr">
        <is>
          <t>INV-94182</t>
        </is>
      </c>
      <c r="I13" s="45" t="inlineStr">
        <is>
          <t>✅ Approved</t>
        </is>
      </c>
      <c r="J13" s="46" t="inlineStr">
        <is>
          <t>No issues noted</t>
        </is>
      </c>
    </row>
    <row r="14">
      <c r="A14" s="11" t="n">
        <v>9</v>
      </c>
      <c r="B14" s="20" t="n">
        <v>437</v>
      </c>
      <c r="C14" s="2" t="inlineStr">
        <is>
          <t>TXN0435</t>
        </is>
      </c>
      <c r="D14" s="3" t="n">
        <v>45567</v>
      </c>
      <c r="E14" s="2" t="inlineStr">
        <is>
          <t>Zong Business</t>
        </is>
      </c>
      <c r="F14" s="4" t="n">
        <v>64771</v>
      </c>
      <c r="G14" s="2" t="inlineStr">
        <is>
          <t>Zara Malik (CFO Office)</t>
        </is>
      </c>
      <c r="H14" s="44" t="inlineStr">
        <is>
          <t>INV-91039</t>
        </is>
      </c>
      <c r="I14" s="45" t="inlineStr">
        <is>
          <t>✅ Approved</t>
        </is>
      </c>
      <c r="J14" s="46" t="inlineStr">
        <is>
          <t>No issues noted</t>
        </is>
      </c>
    </row>
    <row r="15">
      <c r="A15" s="11" t="n">
        <v>10</v>
      </c>
      <c r="B15" s="20" t="n">
        <v>92</v>
      </c>
      <c r="C15" s="5" t="inlineStr">
        <is>
          <t>TXN0090</t>
        </is>
      </c>
      <c r="D15" s="6" t="n">
        <v>45568</v>
      </c>
      <c r="E15" s="5" t="inlineStr">
        <is>
          <t>Nestle Pakistan</t>
        </is>
      </c>
      <c r="F15" s="7" t="n">
        <v>49893</v>
      </c>
      <c r="G15" s="5" t="inlineStr">
        <is>
          <t>Bilal Khan (Head Ops)</t>
        </is>
      </c>
      <c r="H15" s="47" t="inlineStr">
        <is>
          <t>INV-16764</t>
        </is>
      </c>
      <c r="I15" s="45" t="inlineStr">
        <is>
          <t>✅ Approved</t>
        </is>
      </c>
      <c r="J15" s="46" t="inlineStr">
        <is>
          <t>No issues noted</t>
        </is>
      </c>
    </row>
    <row r="16">
      <c r="A16" s="11" t="n">
        <v>11</v>
      </c>
      <c r="B16" s="20" t="n">
        <v>51</v>
      </c>
      <c r="C16" s="2" t="inlineStr">
        <is>
          <t>TXN0049</t>
        </is>
      </c>
      <c r="D16" s="3" t="n">
        <v>45484</v>
      </c>
      <c r="E16" s="2" t="inlineStr">
        <is>
          <t>Allied Bank Limited</t>
        </is>
      </c>
      <c r="F16" s="4" t="n">
        <v>70214</v>
      </c>
      <c r="G16" s="2" t="inlineStr">
        <is>
          <t>Sara Ahmed (VP Finance)</t>
        </is>
      </c>
      <c r="H16" s="44" t="inlineStr">
        <is>
          <t>INV-16057</t>
        </is>
      </c>
      <c r="I16" s="45" t="inlineStr">
        <is>
          <t>✅ Approved</t>
        </is>
      </c>
      <c r="J16" s="46" t="inlineStr">
        <is>
          <t>No issues noted</t>
        </is>
      </c>
    </row>
    <row r="17">
      <c r="A17" s="11" t="n">
        <v>12</v>
      </c>
      <c r="B17" s="20" t="n">
        <v>55</v>
      </c>
      <c r="C17" s="2" t="inlineStr">
        <is>
          <t>TXN0053</t>
        </is>
      </c>
      <c r="D17" s="3" t="n">
        <v>45509</v>
      </c>
      <c r="E17" s="2" t="inlineStr">
        <is>
          <t>Avari Towers</t>
        </is>
      </c>
      <c r="F17" s="4" t="n">
        <v>85346</v>
      </c>
      <c r="G17" s="2" t="inlineStr">
        <is>
          <t>Zara Malik (CFO Office)</t>
        </is>
      </c>
      <c r="H17" s="47" t="inlineStr">
        <is>
          <t>INV-92149</t>
        </is>
      </c>
      <c r="I17" s="45" t="inlineStr">
        <is>
          <t>✅ Approved</t>
        </is>
      </c>
      <c r="J17" s="46" t="inlineStr">
        <is>
          <t>No issues noted</t>
        </is>
      </c>
    </row>
    <row r="18">
      <c r="A18" s="11" t="n">
        <v>13</v>
      </c>
      <c r="B18" s="20" t="n">
        <v>165</v>
      </c>
      <c r="C18" s="2" t="inlineStr">
        <is>
          <t>TXN0163</t>
        </is>
      </c>
      <c r="D18" s="3" t="n">
        <v>45457</v>
      </c>
      <c r="E18" s="2" t="inlineStr">
        <is>
          <t>Deloitte Pakistan</t>
        </is>
      </c>
      <c r="F18" s="4" t="n">
        <v>955761</v>
      </c>
      <c r="G18" s="2" t="inlineStr">
        <is>
          <t>Omer Saleem (CFO)</t>
        </is>
      </c>
      <c r="H18" s="44" t="inlineStr">
        <is>
          <t>INV-47601</t>
        </is>
      </c>
      <c r="I18" s="45" t="inlineStr">
        <is>
          <t>✅ Approved</t>
        </is>
      </c>
      <c r="J18" s="46" t="inlineStr">
        <is>
          <t>No issues noted</t>
        </is>
      </c>
    </row>
    <row r="19">
      <c r="A19" s="11" t="n">
        <v>14</v>
      </c>
      <c r="B19" s="20" t="n">
        <v>249</v>
      </c>
      <c r="C19" s="2" t="inlineStr">
        <is>
          <t>TXN0247</t>
        </is>
      </c>
      <c r="D19" s="3" t="n">
        <v>45454</v>
      </c>
      <c r="E19" s="2" t="inlineStr">
        <is>
          <t>Mobilink (Jazz)</t>
        </is>
      </c>
      <c r="F19" s="4" t="n">
        <v>64780</v>
      </c>
      <c r="G19" s="2" t="inlineStr">
        <is>
          <t>Zara Malik (CFO Office)</t>
        </is>
      </c>
      <c r="H19" s="47" t="inlineStr">
        <is>
          <t>INV-81058</t>
        </is>
      </c>
      <c r="I19" s="45" t="inlineStr">
        <is>
          <t>✅ Approved</t>
        </is>
      </c>
      <c r="J19" s="46" t="inlineStr">
        <is>
          <t>No issues noted</t>
        </is>
      </c>
    </row>
    <row r="20">
      <c r="A20" s="11" t="n">
        <v>15</v>
      </c>
      <c r="B20" s="20" t="n">
        <v>475</v>
      </c>
      <c r="C20" s="2" t="inlineStr">
        <is>
          <t>TXN0473</t>
        </is>
      </c>
      <c r="D20" s="3" t="n">
        <v>45600</v>
      </c>
      <c r="E20" s="2" t="inlineStr">
        <is>
          <t>EY Pakistan</t>
        </is>
      </c>
      <c r="F20" s="4" t="n">
        <v>932997</v>
      </c>
      <c r="G20" s="2" t="inlineStr">
        <is>
          <t>Omer Saleem (CFO)</t>
        </is>
      </c>
      <c r="H20" s="44" t="inlineStr">
        <is>
          <t>INV-72539</t>
        </is>
      </c>
      <c r="I20" s="45" t="inlineStr">
        <is>
          <t>✅ Approved</t>
        </is>
      </c>
      <c r="J20" s="46" t="inlineStr">
        <is>
          <t>No issues noted</t>
        </is>
      </c>
    </row>
    <row r="21">
      <c r="A21" s="11" t="n">
        <v>16</v>
      </c>
      <c r="B21" s="20" t="n">
        <v>425</v>
      </c>
      <c r="C21" s="2" t="inlineStr">
        <is>
          <t>TXN0423</t>
        </is>
      </c>
      <c r="D21" s="3" t="n">
        <v>45453</v>
      </c>
      <c r="E21" s="2" t="inlineStr">
        <is>
          <t>Haidermota &amp; Co</t>
        </is>
      </c>
      <c r="F21" s="4" t="n">
        <v>312497</v>
      </c>
      <c r="G21" s="2" t="inlineStr">
        <is>
          <t>Omer Saleem (CFO)</t>
        </is>
      </c>
      <c r="H21" s="47" t="inlineStr">
        <is>
          <t>INV-81802</t>
        </is>
      </c>
      <c r="I21" s="45" t="inlineStr">
        <is>
          <t>✅ Approved</t>
        </is>
      </c>
      <c r="J21" s="46" t="inlineStr">
        <is>
          <t>No issues noted</t>
        </is>
      </c>
    </row>
    <row r="22">
      <c r="A22" s="11" t="n">
        <v>17</v>
      </c>
      <c r="B22" s="20" t="n">
        <v>147</v>
      </c>
      <c r="C22" s="2" t="inlineStr">
        <is>
          <t>TXN0145</t>
        </is>
      </c>
      <c r="D22" s="3" t="n">
        <v>45484</v>
      </c>
      <c r="E22" s="2" t="inlineStr">
        <is>
          <t>Allied Bank Limited</t>
        </is>
      </c>
      <c r="F22" s="4" t="n">
        <v>49234</v>
      </c>
      <c r="G22" s="2" t="inlineStr">
        <is>
          <t>Usman Tariq (Finance Manager)</t>
        </is>
      </c>
      <c r="H22" s="44" t="inlineStr">
        <is>
          <t>INV-95918</t>
        </is>
      </c>
      <c r="I22" s="45" t="inlineStr">
        <is>
          <t>✅ Approved</t>
        </is>
      </c>
      <c r="J22" s="46" t="inlineStr">
        <is>
          <t>No issues noted</t>
        </is>
      </c>
    </row>
    <row r="23">
      <c r="A23" s="11" t="n">
        <v>18</v>
      </c>
      <c r="B23" s="20" t="n">
        <v>325</v>
      </c>
      <c r="C23" s="2" t="inlineStr">
        <is>
          <t>TXN0323</t>
        </is>
      </c>
      <c r="D23" s="3" t="n">
        <v>45485</v>
      </c>
      <c r="E23" s="2" t="inlineStr">
        <is>
          <t>Avari Towers</t>
        </is>
      </c>
      <c r="F23" s="4" t="n">
        <v>43980</v>
      </c>
      <c r="G23" s="2" t="inlineStr">
        <is>
          <t>Bilal Khan (Head Ops)</t>
        </is>
      </c>
      <c r="H23" s="47" t="inlineStr">
        <is>
          <t>INV-91620</t>
        </is>
      </c>
      <c r="I23" s="45" t="inlineStr">
        <is>
          <t>✅ Approved</t>
        </is>
      </c>
      <c r="J23" s="46" t="inlineStr">
        <is>
          <t>No issues noted</t>
        </is>
      </c>
    </row>
    <row r="24">
      <c r="A24" s="11" t="n">
        <v>19</v>
      </c>
      <c r="B24" s="20" t="n">
        <v>113</v>
      </c>
      <c r="C24" s="2" t="inlineStr">
        <is>
          <t>TXN0111</t>
        </is>
      </c>
      <c r="D24" s="3" t="n">
        <v>45455</v>
      </c>
      <c r="E24" s="2" t="inlineStr">
        <is>
          <t>KPMG Taseer Hadi</t>
        </is>
      </c>
      <c r="F24" s="4" t="n">
        <v>693161</v>
      </c>
      <c r="G24" s="2" t="inlineStr">
        <is>
          <t>Omer Saleem (CFO)</t>
        </is>
      </c>
      <c r="H24" s="44" t="inlineStr">
        <is>
          <t>INV-83048</t>
        </is>
      </c>
      <c r="I24" s="45" t="inlineStr">
        <is>
          <t>✅ Approved</t>
        </is>
      </c>
      <c r="J24" s="46" t="inlineStr">
        <is>
          <t>No issues noted</t>
        </is>
      </c>
    </row>
    <row r="25">
      <c r="A25" s="11" t="n">
        <v>20</v>
      </c>
      <c r="B25" s="20" t="n">
        <v>341</v>
      </c>
      <c r="C25" s="2" t="inlineStr">
        <is>
          <t>TXN0339</t>
        </is>
      </c>
      <c r="D25" s="3" t="n">
        <v>45453</v>
      </c>
      <c r="E25" s="2" t="inlineStr">
        <is>
          <t>Inbox Business Technologies</t>
        </is>
      </c>
      <c r="F25" s="4" t="n">
        <v>420488</v>
      </c>
      <c r="G25" s="2" t="inlineStr">
        <is>
          <t>Omer Saleem (CFO)</t>
        </is>
      </c>
      <c r="H25" s="47" t="inlineStr">
        <is>
          <t>INV-94233</t>
        </is>
      </c>
      <c r="I25" s="45" t="inlineStr">
        <is>
          <t>✅ Approved</t>
        </is>
      </c>
      <c r="J25" s="46" t="inlineStr">
        <is>
          <t>No issues noted</t>
        </is>
      </c>
    </row>
    <row r="26">
      <c r="A26" s="11" t="n">
        <v>21</v>
      </c>
      <c r="B26" s="20" t="n">
        <v>196</v>
      </c>
      <c r="C26" s="5" t="inlineStr">
        <is>
          <t>TXN0194</t>
        </is>
      </c>
      <c r="D26" s="6" t="n">
        <v>45546</v>
      </c>
      <c r="E26" s="5" t="inlineStr">
        <is>
          <t>Teradata Pakistan</t>
        </is>
      </c>
      <c r="F26" s="7" t="n">
        <v>662581</v>
      </c>
      <c r="G26" s="5" t="inlineStr">
        <is>
          <t>Omer Saleem (CFO)</t>
        </is>
      </c>
      <c r="H26" s="44" t="inlineStr">
        <is>
          <t>INV-26059</t>
        </is>
      </c>
      <c r="I26" s="45" t="inlineStr">
        <is>
          <t>✅ Approved</t>
        </is>
      </c>
      <c r="J26" s="46" t="inlineStr">
        <is>
          <t>No issues noted</t>
        </is>
      </c>
    </row>
    <row r="27">
      <c r="A27" s="11" t="n">
        <v>22</v>
      </c>
      <c r="B27" s="20" t="n">
        <v>168</v>
      </c>
      <c r="C27" s="5" t="inlineStr">
        <is>
          <t>TXN0166</t>
        </is>
      </c>
      <c r="D27" s="6" t="n">
        <v>45439</v>
      </c>
      <c r="E27" s="5" t="inlineStr">
        <is>
          <t>Singer Pakistan</t>
        </is>
      </c>
      <c r="F27" s="7" t="n">
        <v>43833</v>
      </c>
      <c r="G27" s="5" t="inlineStr">
        <is>
          <t>Bilal Khan (Head Ops)</t>
        </is>
      </c>
      <c r="H27" s="47" t="inlineStr">
        <is>
          <t>INV-92831</t>
        </is>
      </c>
      <c r="I27" s="45" t="inlineStr">
        <is>
          <t>✅ Approved</t>
        </is>
      </c>
      <c r="J27" s="46" t="inlineStr">
        <is>
          <t>No issues noted</t>
        </is>
      </c>
    </row>
    <row r="28">
      <c r="A28" s="11" t="n">
        <v>23</v>
      </c>
      <c r="B28" s="20" t="n">
        <v>480</v>
      </c>
      <c r="C28" s="5" t="inlineStr">
        <is>
          <t>TXN0478</t>
        </is>
      </c>
      <c r="D28" s="6" t="n">
        <v>45492</v>
      </c>
      <c r="E28" s="5" t="inlineStr">
        <is>
          <t>Leopards Courier</t>
        </is>
      </c>
      <c r="F28" s="7" t="n">
        <v>21092</v>
      </c>
      <c r="G28" s="5" t="inlineStr">
        <is>
          <t>Bilal Khan (Head Ops)</t>
        </is>
      </c>
      <c r="H28" s="44" t="inlineStr">
        <is>
          <t>INV-82165</t>
        </is>
      </c>
      <c r="I28" s="45" t="inlineStr">
        <is>
          <t>✅ Approved</t>
        </is>
      </c>
      <c r="J28" s="46" t="inlineStr">
        <is>
          <t>No issues noted</t>
        </is>
      </c>
    </row>
    <row r="29">
      <c r="A29" s="11" t="n">
        <v>24</v>
      </c>
      <c r="B29" s="20" t="n">
        <v>430</v>
      </c>
      <c r="C29" s="5" t="inlineStr">
        <is>
          <t>TXN0428</t>
        </is>
      </c>
      <c r="D29" s="6" t="n">
        <v>45714</v>
      </c>
      <c r="E29" s="5" t="inlineStr">
        <is>
          <t>Leopards Courier</t>
        </is>
      </c>
      <c r="F29" s="7" t="n">
        <v>49345</v>
      </c>
      <c r="G29" s="5" t="inlineStr">
        <is>
          <t>Bilal Khan (Head Ops)</t>
        </is>
      </c>
      <c r="H29" s="47" t="inlineStr">
        <is>
          <t>INV-76967</t>
        </is>
      </c>
      <c r="I29" s="45" t="inlineStr">
        <is>
          <t>✅ Approved</t>
        </is>
      </c>
      <c r="J29" s="46" t="inlineStr">
        <is>
          <t>No issues noted</t>
        </is>
      </c>
    </row>
    <row r="30">
      <c r="A30" s="11" t="n">
        <v>25</v>
      </c>
      <c r="B30" s="20" t="n">
        <v>283</v>
      </c>
      <c r="C30" s="2" t="inlineStr">
        <is>
          <t>TXN0281</t>
        </is>
      </c>
      <c r="D30" s="3" t="n">
        <v>45525</v>
      </c>
      <c r="E30" s="2" t="inlineStr">
        <is>
          <t>Systems Limited</t>
        </is>
      </c>
      <c r="F30" s="4" t="n">
        <v>379448</v>
      </c>
      <c r="G30" s="2" t="inlineStr">
        <is>
          <t>Omer Saleem (CFO)</t>
        </is>
      </c>
      <c r="H30" s="44" t="inlineStr">
        <is>
          <t>INV-80371</t>
        </is>
      </c>
      <c r="I30" s="45" t="inlineStr">
        <is>
          <t>✅ Approved</t>
        </is>
      </c>
      <c r="J30" s="46" t="inlineStr">
        <is>
          <t>No issues noted</t>
        </is>
      </c>
    </row>
    <row r="31">
      <c r="A31" s="11" t="n">
        <v>26</v>
      </c>
      <c r="B31" s="20" t="n">
        <v>100</v>
      </c>
      <c r="C31" s="5" t="inlineStr">
        <is>
          <t>TXN0098</t>
        </is>
      </c>
      <c r="D31" s="6" t="n">
        <v>45434</v>
      </c>
      <c r="E31" s="5" t="inlineStr">
        <is>
          <t>Metro Cash &amp; Carry</t>
        </is>
      </c>
      <c r="F31" s="7" t="n">
        <v>26637</v>
      </c>
      <c r="G31" s="5" t="inlineStr">
        <is>
          <t>Bilal Khan (Head Ops)</t>
        </is>
      </c>
      <c r="H31" s="47" t="inlineStr">
        <is>
          <t>INV-28894</t>
        </is>
      </c>
      <c r="I31" s="45" t="inlineStr">
        <is>
          <t>✅ Approved</t>
        </is>
      </c>
      <c r="J31" s="46" t="inlineStr">
        <is>
          <t>No issues noted</t>
        </is>
      </c>
    </row>
    <row r="32">
      <c r="A32" s="11" t="n">
        <v>27</v>
      </c>
      <c r="B32" s="20" t="n">
        <v>226</v>
      </c>
      <c r="C32" s="5" t="inlineStr">
        <is>
          <t>TXN0224</t>
        </is>
      </c>
      <c r="D32" s="6" t="n">
        <v>45688</v>
      </c>
      <c r="E32" s="5" t="inlineStr">
        <is>
          <t>Serena Hotel Lahore</t>
        </is>
      </c>
      <c r="F32" s="7" t="n">
        <v>97156</v>
      </c>
      <c r="G32" s="5" t="inlineStr">
        <is>
          <t>Sara Ahmed (VP Finance)</t>
        </is>
      </c>
      <c r="H32" s="44" t="inlineStr">
        <is>
          <t>INV-79228</t>
        </is>
      </c>
      <c r="I32" s="45" t="inlineStr">
        <is>
          <t>✅ Approved</t>
        </is>
      </c>
      <c r="J32" s="46" t="inlineStr">
        <is>
          <t>No issues noted</t>
        </is>
      </c>
    </row>
    <row r="33">
      <c r="A33" s="11" t="n">
        <v>28</v>
      </c>
      <c r="B33" s="20" t="n">
        <v>254</v>
      </c>
      <c r="C33" s="5" t="inlineStr">
        <is>
          <t>TXN0252</t>
        </is>
      </c>
      <c r="D33" s="6" t="n">
        <v>45672</v>
      </c>
      <c r="E33" s="5" t="inlineStr">
        <is>
          <t>Oracle Pakistan Pvt Ltd</t>
        </is>
      </c>
      <c r="F33" s="7" t="n">
        <v>584117</v>
      </c>
      <c r="G33" s="5" t="inlineStr">
        <is>
          <t>Omer Saleem (CFO)</t>
        </is>
      </c>
      <c r="H33" s="47" t="inlineStr">
        <is>
          <t>INV-49318</t>
        </is>
      </c>
      <c r="I33" s="45" t="inlineStr">
        <is>
          <t>✅ Approved</t>
        </is>
      </c>
      <c r="J33" s="46" t="inlineStr">
        <is>
          <t>No issues noted</t>
        </is>
      </c>
    </row>
    <row r="34">
      <c r="A34" s="11" t="n">
        <v>29</v>
      </c>
      <c r="B34" s="20" t="n">
        <v>357</v>
      </c>
      <c r="C34" s="2" t="inlineStr">
        <is>
          <t>TXN0355</t>
        </is>
      </c>
      <c r="D34" s="3" t="n">
        <v>45393</v>
      </c>
      <c r="E34" s="2" t="inlineStr">
        <is>
          <t>Leopards Courier</t>
        </is>
      </c>
      <c r="F34" s="4" t="n">
        <v>15867</v>
      </c>
      <c r="G34" s="2" t="inlineStr">
        <is>
          <t>Bilal Khan (Head Ops)</t>
        </is>
      </c>
      <c r="H34" s="44" t="inlineStr">
        <is>
          <t>INV-23726</t>
        </is>
      </c>
      <c r="I34" s="45" t="inlineStr">
        <is>
          <t>✅ Approved</t>
        </is>
      </c>
      <c r="J34" s="46" t="inlineStr">
        <is>
          <t>No issues noted</t>
        </is>
      </c>
    </row>
    <row r="35">
      <c r="A35" s="11" t="n">
        <v>30</v>
      </c>
      <c r="B35" s="20" t="n">
        <v>75</v>
      </c>
      <c r="C35" s="2" t="inlineStr">
        <is>
          <t>TXN0073</t>
        </is>
      </c>
      <c r="D35" s="3" t="n">
        <v>45544</v>
      </c>
      <c r="E35" s="2" t="inlineStr">
        <is>
          <t>MCB Bank Ltd</t>
        </is>
      </c>
      <c r="F35" s="4" t="n">
        <v>44816</v>
      </c>
      <c r="G35" s="2" t="inlineStr">
        <is>
          <t>Usman Tariq (Finance Manager)</t>
        </is>
      </c>
      <c r="H35" s="47" t="inlineStr">
        <is>
          <t>INV-35105</t>
        </is>
      </c>
      <c r="I35" s="45" t="inlineStr">
        <is>
          <t>✅ Approved</t>
        </is>
      </c>
      <c r="J35" s="46" t="inlineStr">
        <is>
          <t>No issues noted</t>
        </is>
      </c>
    </row>
    <row r="36">
      <c r="A36" s="11" t="n">
        <v>31</v>
      </c>
      <c r="B36" s="20" t="n">
        <v>192</v>
      </c>
      <c r="C36" s="5" t="inlineStr">
        <is>
          <t>TXN0190</t>
        </is>
      </c>
      <c r="D36" s="6" t="n">
        <v>45671</v>
      </c>
      <c r="E36" s="5" t="inlineStr">
        <is>
          <t>Nestle Pakistan</t>
        </is>
      </c>
      <c r="F36" s="7" t="n">
        <v>65605</v>
      </c>
      <c r="G36" s="5" t="inlineStr">
        <is>
          <t>Sara Ahmed (VP Finance)</t>
        </is>
      </c>
      <c r="H36" s="44" t="inlineStr">
        <is>
          <t>INV-20646</t>
        </is>
      </c>
      <c r="I36" s="45" t="inlineStr">
        <is>
          <t>✅ Approved</t>
        </is>
      </c>
      <c r="J36" s="46" t="inlineStr">
        <is>
          <t>No issues noted</t>
        </is>
      </c>
    </row>
    <row r="37">
      <c r="A37" s="11" t="n">
        <v>32</v>
      </c>
      <c r="B37" s="20" t="n">
        <v>96</v>
      </c>
      <c r="C37" s="5" t="inlineStr">
        <is>
          <t>TXN0094</t>
        </is>
      </c>
      <c r="D37" s="6" t="n">
        <v>45418</v>
      </c>
      <c r="E37" s="5" t="inlineStr">
        <is>
          <t>Zones Pakistan Pvt Ltd</t>
        </is>
      </c>
      <c r="F37" s="7" t="n">
        <v>289043</v>
      </c>
      <c r="G37" s="5" t="inlineStr">
        <is>
          <t>Omer Saleem (CFO)</t>
        </is>
      </c>
      <c r="H37" s="47" t="inlineStr">
        <is>
          <t>INV-54548</t>
        </is>
      </c>
      <c r="I37" s="45" t="inlineStr">
        <is>
          <t>✅ Approved</t>
        </is>
      </c>
      <c r="J37" s="46" t="inlineStr">
        <is>
          <t>No issues noted</t>
        </is>
      </c>
    </row>
    <row r="38">
      <c r="A38" s="11" t="n">
        <v>33</v>
      </c>
      <c r="B38" s="20" t="n">
        <v>38</v>
      </c>
      <c r="C38" s="5" t="inlineStr">
        <is>
          <t>TXN0036</t>
        </is>
      </c>
      <c r="D38" s="6" t="n">
        <v>45440</v>
      </c>
      <c r="E38" s="5" t="inlineStr">
        <is>
          <t>Leopards Courier</t>
        </is>
      </c>
      <c r="F38" s="7" t="n">
        <v>37033</v>
      </c>
      <c r="G38" s="5" t="inlineStr">
        <is>
          <t>Usman Tariq (Finance Manager)</t>
        </is>
      </c>
      <c r="H38" s="44" t="inlineStr">
        <is>
          <t>INV-81511</t>
        </is>
      </c>
      <c r="I38" s="45" t="inlineStr">
        <is>
          <t>✅ Approved</t>
        </is>
      </c>
      <c r="J38" s="46" t="inlineStr">
        <is>
          <t>No issues noted</t>
        </is>
      </c>
    </row>
    <row r="39">
      <c r="A39" s="11" t="n">
        <v>34</v>
      </c>
      <c r="B39" s="20" t="n">
        <v>19</v>
      </c>
      <c r="C39" s="2" t="inlineStr">
        <is>
          <t>TXN0017</t>
        </is>
      </c>
      <c r="D39" s="3" t="n">
        <v>45467</v>
      </c>
      <c r="E39" s="2" t="inlineStr">
        <is>
          <t>Teradata Pakistan</t>
        </is>
      </c>
      <c r="F39" s="4" t="n">
        <v>628223</v>
      </c>
      <c r="G39" s="2" t="inlineStr">
        <is>
          <t>Omer Saleem (CFO)</t>
        </is>
      </c>
      <c r="H39" s="47" t="inlineStr">
        <is>
          <t>INV-37760</t>
        </is>
      </c>
      <c r="I39" s="45" t="inlineStr">
        <is>
          <t>✅ Approved</t>
        </is>
      </c>
      <c r="J39" s="46" t="inlineStr">
        <is>
          <t>No issues noted</t>
        </is>
      </c>
    </row>
    <row r="40">
      <c r="A40" s="11" t="n">
        <v>35</v>
      </c>
      <c r="B40" s="20" t="n">
        <v>315</v>
      </c>
      <c r="C40" s="2" t="inlineStr">
        <is>
          <t>TXN0313</t>
        </is>
      </c>
      <c r="D40" s="3" t="n">
        <v>45525</v>
      </c>
      <c r="E40" s="2" t="inlineStr">
        <is>
          <t>Singer Pakistan</t>
        </is>
      </c>
      <c r="F40" s="4" t="n">
        <v>50583</v>
      </c>
      <c r="G40" s="2" t="inlineStr">
        <is>
          <t>Sara Ahmed (VP Finance)</t>
        </is>
      </c>
      <c r="H40" s="44" t="inlineStr">
        <is>
          <t>INV-20357</t>
        </is>
      </c>
      <c r="I40" s="45" t="inlineStr">
        <is>
          <t>✅ Approved</t>
        </is>
      </c>
      <c r="J40" s="46" t="inlineStr">
        <is>
          <t>No issues noted</t>
        </is>
      </c>
    </row>
    <row r="41">
      <c r="A41" s="11" t="n">
        <v>36</v>
      </c>
      <c r="B41" s="20" t="n">
        <v>372</v>
      </c>
      <c r="C41" s="5" t="inlineStr">
        <is>
          <t>TXN0370</t>
        </is>
      </c>
      <c r="D41" s="6" t="n">
        <v>45552</v>
      </c>
      <c r="E41" s="5" t="inlineStr">
        <is>
          <t>Haidermota &amp; Co</t>
        </is>
      </c>
      <c r="F41" s="7" t="n">
        <v>481566</v>
      </c>
      <c r="G41" s="5" t="inlineStr">
        <is>
          <t>Omer Saleem (CFO)</t>
        </is>
      </c>
      <c r="H41" s="47" t="inlineStr">
        <is>
          <t>INV-72287</t>
        </is>
      </c>
      <c r="I41" s="45" t="inlineStr">
        <is>
          <t>✅ Approved</t>
        </is>
      </c>
      <c r="J41" s="46" t="inlineStr">
        <is>
          <t>No issues noted</t>
        </is>
      </c>
    </row>
    <row r="42">
      <c r="A42" s="11" t="n">
        <v>37</v>
      </c>
      <c r="B42" s="20" t="n">
        <v>344</v>
      </c>
      <c r="C42" s="5" t="inlineStr">
        <is>
          <t>TXN0342</t>
        </is>
      </c>
      <c r="D42" s="6" t="n">
        <v>45434</v>
      </c>
      <c r="E42" s="5" t="inlineStr">
        <is>
          <t>Marriott Islamabad</t>
        </is>
      </c>
      <c r="F42" s="7" t="n">
        <v>99479</v>
      </c>
      <c r="G42" s="5" t="inlineStr">
        <is>
          <t>Sara Ahmed (VP Finance)</t>
        </is>
      </c>
      <c r="H42" s="44" t="inlineStr">
        <is>
          <t>INV-44934</t>
        </is>
      </c>
      <c r="I42" s="45" t="inlineStr">
        <is>
          <t>✅ Approved</t>
        </is>
      </c>
      <c r="J42" s="46" t="inlineStr">
        <is>
          <t>No issues noted</t>
        </is>
      </c>
    </row>
    <row r="43">
      <c r="A43" s="11" t="n">
        <v>38</v>
      </c>
      <c r="B43" s="20" t="n">
        <v>277</v>
      </c>
      <c r="C43" s="2" t="inlineStr">
        <is>
          <t>TXN0275</t>
        </is>
      </c>
      <c r="D43" s="3" t="n">
        <v>45611</v>
      </c>
      <c r="E43" s="2" t="inlineStr">
        <is>
          <t>Ufone Corporate</t>
        </is>
      </c>
      <c r="F43" s="4" t="n">
        <v>87467</v>
      </c>
      <c r="G43" s="2" t="inlineStr">
        <is>
          <t>Zara Malik (CFO Office)</t>
        </is>
      </c>
      <c r="H43" s="47" t="inlineStr">
        <is>
          <t>INV-70694</t>
        </is>
      </c>
      <c r="I43" s="45" t="inlineStr">
        <is>
          <t>✅ Approved</t>
        </is>
      </c>
      <c r="J43" s="46" t="inlineStr">
        <is>
          <t>No issues noted</t>
        </is>
      </c>
    </row>
    <row r="44">
      <c r="A44" s="11" t="n">
        <v>39</v>
      </c>
      <c r="B44" s="20" t="n">
        <v>149</v>
      </c>
      <c r="C44" s="2" t="inlineStr">
        <is>
          <t>TXN0147</t>
        </is>
      </c>
      <c r="D44" s="3" t="n">
        <v>45685</v>
      </c>
      <c r="E44" s="2" t="inlineStr">
        <is>
          <t>National Logistic Cell</t>
        </is>
      </c>
      <c r="F44" s="4" t="n">
        <v>33192</v>
      </c>
      <c r="G44" s="2" t="inlineStr">
        <is>
          <t>Usman Tariq (Finance Manager)</t>
        </is>
      </c>
      <c r="H44" s="44" t="inlineStr">
        <is>
          <t>INV-76497</t>
        </is>
      </c>
      <c r="I44" s="45" t="inlineStr">
        <is>
          <t>✅ Approved</t>
        </is>
      </c>
      <c r="J44" s="46" t="inlineStr">
        <is>
          <t>No issues noted</t>
        </is>
      </c>
    </row>
    <row r="45">
      <c r="A45" s="11" t="n">
        <v>40</v>
      </c>
      <c r="B45" s="20" t="n">
        <v>454</v>
      </c>
      <c r="C45" s="5" t="inlineStr">
        <is>
          <t>TXN0452</t>
        </is>
      </c>
      <c r="D45" s="6" t="n">
        <v>45567</v>
      </c>
      <c r="E45" s="5" t="inlineStr">
        <is>
          <t>Ufone Corporate</t>
        </is>
      </c>
      <c r="F45" s="7" t="n">
        <v>77543</v>
      </c>
      <c r="G45" s="5" t="inlineStr">
        <is>
          <t>Sara Ahmed (VP Finance)</t>
        </is>
      </c>
      <c r="H45" s="47" t="inlineStr">
        <is>
          <t>INV-72908</t>
        </is>
      </c>
      <c r="I45" s="45" t="inlineStr">
        <is>
          <t>✅ Approved</t>
        </is>
      </c>
      <c r="J45" s="46" t="inlineStr">
        <is>
          <t>No issues noted</t>
        </is>
      </c>
    </row>
    <row r="46"/>
    <row r="47"/>
    <row r="48">
      <c r="A48" s="24" t="inlineStr">
        <is>
          <t xml:space="preserve">TOP 10 HIGH VALUE TRANSACTIONS  </t>
        </is>
      </c>
    </row>
    <row r="49"/>
    <row r="50">
      <c r="A50" s="43" t="inlineStr">
        <is>
          <t>Rank</t>
        </is>
      </c>
      <c r="B50" s="43" t="inlineStr">
        <is>
          <t>Amount (PKR)</t>
        </is>
      </c>
      <c r="C50" s="43" t="inlineStr">
        <is>
          <t>Txn_ID</t>
        </is>
      </c>
      <c r="D50" s="43" t="inlineStr">
        <is>
          <t>Vendor</t>
        </is>
      </c>
      <c r="E50" s="43" t="inlineStr">
        <is>
          <t>Department</t>
        </is>
      </c>
      <c r="F50" s="43" t="inlineStr">
        <is>
          <t>Approved By</t>
        </is>
      </c>
      <c r="G50" s="43" t="inlineStr">
        <is>
          <t>Invoice No.</t>
        </is>
      </c>
      <c r="H50" s="43" t="inlineStr">
        <is>
          <t>Vendor Status</t>
        </is>
      </c>
      <c r="I50" s="43" t="inlineStr">
        <is>
          <t>Auditor Remarks</t>
        </is>
      </c>
    </row>
    <row r="51">
      <c r="A51" s="12" t="n">
        <v>1</v>
      </c>
      <c r="B51" s="21" t="n">
        <v>955761</v>
      </c>
      <c r="C51" s="2" t="inlineStr">
        <is>
          <t>TXN0163</t>
        </is>
      </c>
      <c r="D51" s="2" t="inlineStr">
        <is>
          <t>Deloitte Pakistan</t>
        </is>
      </c>
      <c r="E51" s="2" t="inlineStr">
        <is>
          <t>Technology</t>
        </is>
      </c>
      <c r="F51" s="2" t="inlineStr">
        <is>
          <t>Omer Saleem (CFO)</t>
        </is>
      </c>
      <c r="G51" s="48" t="inlineStr">
        <is>
          <t>INV-47601</t>
        </is>
      </c>
      <c r="H51" s="45" t="inlineStr">
        <is>
          <t>✅ Approved</t>
        </is>
      </c>
      <c r="I51" s="49" t="inlineStr">
        <is>
          <t>Invoice on file. CFO approved. Vendor verified. No issues noted.</t>
        </is>
      </c>
      <c r="J51" s="46" t="n"/>
    </row>
    <row r="52">
      <c r="A52" s="12" t="n">
        <v>2</v>
      </c>
      <c r="B52" s="21" t="n">
        <v>933203</v>
      </c>
      <c r="C52" s="5" t="inlineStr">
        <is>
          <t>TXN0268</t>
        </is>
      </c>
      <c r="D52" s="5" t="inlineStr">
        <is>
          <t>Deloitte Pakistan</t>
        </is>
      </c>
      <c r="E52" s="5" t="inlineStr">
        <is>
          <t>Marketing</t>
        </is>
      </c>
      <c r="F52" s="5" t="inlineStr">
        <is>
          <t>Omer Saleem (CFO)</t>
        </is>
      </c>
      <c r="G52" s="48" t="inlineStr">
        <is>
          <t>INV-62198</t>
        </is>
      </c>
      <c r="H52" s="45" t="inlineStr">
        <is>
          <t>✅ Approved</t>
        </is>
      </c>
      <c r="I52" s="49" t="inlineStr">
        <is>
          <t>Invoice on file. CFO approved. Vendor verified. No issues noted.</t>
        </is>
      </c>
      <c r="J52" s="46" t="n"/>
    </row>
    <row r="53">
      <c r="A53" s="12" t="n">
        <v>3</v>
      </c>
      <c r="B53" s="21" t="n">
        <v>932997</v>
      </c>
      <c r="C53" s="2" t="inlineStr">
        <is>
          <t>TXN0473</t>
        </is>
      </c>
      <c r="D53" s="2" t="inlineStr">
        <is>
          <t>EY Pakistan</t>
        </is>
      </c>
      <c r="E53" s="2" t="inlineStr">
        <is>
          <t>Marketing</t>
        </is>
      </c>
      <c r="F53" s="2" t="inlineStr">
        <is>
          <t>Omer Saleem (CFO)</t>
        </is>
      </c>
      <c r="G53" s="48" t="inlineStr">
        <is>
          <t>INV-72539</t>
        </is>
      </c>
      <c r="H53" s="45" t="inlineStr">
        <is>
          <t>✅ Approved</t>
        </is>
      </c>
      <c r="I53" s="49" t="inlineStr">
        <is>
          <t>Invoice on file. CFO approved. Vendor verified. No issues noted.</t>
        </is>
      </c>
      <c r="J53" s="46" t="n"/>
    </row>
    <row r="54">
      <c r="A54" s="12" t="n">
        <v>4</v>
      </c>
      <c r="B54" s="21" t="n">
        <v>928801</v>
      </c>
      <c r="C54" s="2" t="inlineStr">
        <is>
          <t>TXN0129</t>
        </is>
      </c>
      <c r="D54" s="2" t="inlineStr">
        <is>
          <t>PwC Pakistan</t>
        </is>
      </c>
      <c r="E54" s="2" t="inlineStr">
        <is>
          <t>Technology</t>
        </is>
      </c>
      <c r="F54" s="2" t="inlineStr">
        <is>
          <t>Omer Saleem (CFO)</t>
        </is>
      </c>
      <c r="G54" s="48" t="inlineStr">
        <is>
          <t>INV-66606</t>
        </is>
      </c>
      <c r="H54" s="45" t="inlineStr">
        <is>
          <t>✅ Approved</t>
        </is>
      </c>
      <c r="I54" s="49" t="inlineStr">
        <is>
          <t>Invoice on file. CFO approved. Vendor verified. No issues noted.</t>
        </is>
      </c>
      <c r="J54" s="46" t="n"/>
    </row>
    <row r="55">
      <c r="A55" s="12" t="n">
        <v>5</v>
      </c>
      <c r="B55" s="21" t="n">
        <v>928150</v>
      </c>
      <c r="C55" s="2" t="inlineStr">
        <is>
          <t>TXN0325</t>
        </is>
      </c>
      <c r="D55" s="2" t="inlineStr">
        <is>
          <t>EY Pakistan</t>
        </is>
      </c>
      <c r="E55" s="2" t="inlineStr">
        <is>
          <t>Customer Experience</t>
        </is>
      </c>
      <c r="F55" s="2" t="inlineStr">
        <is>
          <t>Omer Saleem (CFO)</t>
        </is>
      </c>
      <c r="G55" s="48" t="inlineStr">
        <is>
          <t>INV-50306</t>
        </is>
      </c>
      <c r="H55" s="45" t="inlineStr">
        <is>
          <t>✅ Approved</t>
        </is>
      </c>
      <c r="I55" s="49" t="inlineStr">
        <is>
          <t>Invoice on file. CFO approved. Vendor verified. No issues noted.</t>
        </is>
      </c>
      <c r="J55" s="46" t="n"/>
    </row>
    <row r="56">
      <c r="A56" s="12" t="n">
        <v>6</v>
      </c>
      <c r="B56" s="21" t="n">
        <v>925852</v>
      </c>
      <c r="C56" s="5" t="inlineStr">
        <is>
          <t>TXN0118</t>
        </is>
      </c>
      <c r="D56" s="5" t="inlineStr">
        <is>
          <t>PwC Pakistan</t>
        </is>
      </c>
      <c r="E56" s="5" t="inlineStr">
        <is>
          <t>Technology</t>
        </is>
      </c>
      <c r="F56" s="5" t="inlineStr">
        <is>
          <t>Omer Saleem (CFO)</t>
        </is>
      </c>
      <c r="G56" s="48" t="inlineStr">
        <is>
          <t>INV-62184</t>
        </is>
      </c>
      <c r="H56" s="45" t="inlineStr">
        <is>
          <t>✅ Approved</t>
        </is>
      </c>
      <c r="I56" s="49" t="inlineStr">
        <is>
          <t>Invoice on file. CFO approved. Vendor verified. No issues noted.</t>
        </is>
      </c>
      <c r="J56" s="46" t="n"/>
    </row>
    <row r="57">
      <c r="A57" s="12" t="n">
        <v>7</v>
      </c>
      <c r="B57" s="21" t="n">
        <v>923098</v>
      </c>
      <c r="C57" s="2" t="inlineStr">
        <is>
          <t>TXN0487</t>
        </is>
      </c>
      <c r="D57" s="2" t="inlineStr">
        <is>
          <t>KPMG Taseer Hadi</t>
        </is>
      </c>
      <c r="E57" s="2" t="inlineStr">
        <is>
          <t>HR &amp; Admin</t>
        </is>
      </c>
      <c r="F57" s="2" t="inlineStr">
        <is>
          <t>Omer Saleem (CFO)</t>
        </is>
      </c>
      <c r="G57" s="48" t="inlineStr">
        <is>
          <t>INV-43792</t>
        </is>
      </c>
      <c r="H57" s="45" t="inlineStr">
        <is>
          <t>✅ Approved</t>
        </is>
      </c>
      <c r="I57" s="49" t="inlineStr">
        <is>
          <t>Invoice on file. CFO approved. Vendor verified. No issues noted.</t>
        </is>
      </c>
      <c r="J57" s="46" t="n"/>
    </row>
    <row r="58">
      <c r="A58" s="12" t="n">
        <v>8</v>
      </c>
      <c r="B58" s="21" t="n">
        <v>905245</v>
      </c>
      <c r="C58" s="5" t="inlineStr">
        <is>
          <t>TXN0088</t>
        </is>
      </c>
      <c r="D58" s="5" t="inlineStr">
        <is>
          <t>KPMG Taseer Hadi</t>
        </is>
      </c>
      <c r="E58" s="5" t="inlineStr">
        <is>
          <t>Operations</t>
        </is>
      </c>
      <c r="F58" s="5" t="inlineStr">
        <is>
          <t>Omer Saleem (CFO)</t>
        </is>
      </c>
      <c r="G58" s="48" t="inlineStr">
        <is>
          <t>INV-47777</t>
        </is>
      </c>
      <c r="H58" s="45" t="inlineStr">
        <is>
          <t>✅ Approved</t>
        </is>
      </c>
      <c r="I58" s="49" t="inlineStr">
        <is>
          <t>Invoice on file. CFO approved. Vendor verified. No issues noted.</t>
        </is>
      </c>
      <c r="J58" s="46" t="n"/>
    </row>
    <row r="59">
      <c r="A59" s="12" t="n">
        <v>9</v>
      </c>
      <c r="B59" s="21" t="n">
        <v>905120</v>
      </c>
      <c r="C59" s="2" t="inlineStr">
        <is>
          <t>TXN0125</t>
        </is>
      </c>
      <c r="D59" s="2" t="inlineStr">
        <is>
          <t>Microsoft Pakistan</t>
        </is>
      </c>
      <c r="E59" s="2" t="inlineStr">
        <is>
          <t>HR &amp; Admin</t>
        </is>
      </c>
      <c r="F59" s="2" t="inlineStr">
        <is>
          <t>Omer Saleem (CFO)</t>
        </is>
      </c>
      <c r="G59" s="48" t="inlineStr">
        <is>
          <t>INV-89730</t>
        </is>
      </c>
      <c r="H59" s="45" t="inlineStr">
        <is>
          <t>✅ Approved</t>
        </is>
      </c>
      <c r="I59" s="49" t="inlineStr">
        <is>
          <t>Invoice on file. CFO approved. Vendor verified. No issues noted.</t>
        </is>
      </c>
      <c r="J59" s="46" t="n"/>
    </row>
    <row r="60">
      <c r="A60" s="12" t="n">
        <v>10</v>
      </c>
      <c r="B60" s="21" t="n">
        <v>874979</v>
      </c>
      <c r="C60" s="2" t="inlineStr">
        <is>
          <t>TXN0443</t>
        </is>
      </c>
      <c r="D60" s="2" t="inlineStr">
        <is>
          <t>Microsoft Pakistan</t>
        </is>
      </c>
      <c r="E60" s="2" t="inlineStr">
        <is>
          <t>Finance &amp; Accounts</t>
        </is>
      </c>
      <c r="F60" s="2" t="inlineStr">
        <is>
          <t>Omer Saleem (CFO)</t>
        </is>
      </c>
      <c r="G60" s="48" t="inlineStr">
        <is>
          <t>INV-67367</t>
        </is>
      </c>
      <c r="H60" s="45" t="inlineStr">
        <is>
          <t>✅ Approved</t>
        </is>
      </c>
      <c r="I60" s="49" t="inlineStr">
        <is>
          <t>Invoice on file. CFO approved. Vendor verified. No issues noted.</t>
        </is>
      </c>
      <c r="J60" s="46" t="n"/>
    </row>
  </sheetData>
  <mergeCells count="5">
    <mergeCell ref="A4:H4"/>
    <mergeCell ref="A48:H48"/>
    <mergeCell ref="A3:H3"/>
    <mergeCell ref="A49:H49"/>
    <mergeCell ref="A1:H1"/>
  </mergeCells>
  <conditionalFormatting sqref="C6">
    <cfRule type="duplicateValues" priority="173" dxfId="3"/>
  </conditionalFormatting>
  <conditionalFormatting sqref="D6">
    <cfRule type="expression" priority="172" dxfId="2">
      <formula>WEEKDAY(D6,2)&gt;5</formula>
    </cfRule>
  </conditionalFormatting>
  <conditionalFormatting sqref="F6">
    <cfRule type="expression" priority="171" dxfId="3">
      <formula>MOD(F6,10000)=0</formula>
    </cfRule>
  </conditionalFormatting>
  <conditionalFormatting sqref="C7">
    <cfRule type="duplicateValues" priority="169" dxfId="3"/>
  </conditionalFormatting>
  <conditionalFormatting sqref="D7">
    <cfRule type="expression" priority="168" dxfId="2">
      <formula>WEEKDAY(D7,2)&gt;5</formula>
    </cfRule>
  </conditionalFormatting>
  <conditionalFormatting sqref="F7">
    <cfRule type="expression" priority="167" dxfId="3">
      <formula>MOD(F7,10000)=0</formula>
    </cfRule>
  </conditionalFormatting>
  <conditionalFormatting sqref="C8">
    <cfRule type="duplicateValues" priority="165" dxfId="3"/>
  </conditionalFormatting>
  <conditionalFormatting sqref="D8">
    <cfRule type="expression" priority="164" dxfId="2">
      <formula>WEEKDAY(D8,2)&gt;5</formula>
    </cfRule>
  </conditionalFormatting>
  <conditionalFormatting sqref="F8">
    <cfRule type="expression" priority="163" dxfId="3">
      <formula>MOD(F8,10000)=0</formula>
    </cfRule>
  </conditionalFormatting>
  <conditionalFormatting sqref="C9">
    <cfRule type="duplicateValues" priority="161" dxfId="3"/>
  </conditionalFormatting>
  <conditionalFormatting sqref="D9">
    <cfRule type="expression" priority="160" dxfId="2">
      <formula>WEEKDAY(D9,2)&gt;5</formula>
    </cfRule>
  </conditionalFormatting>
  <conditionalFormatting sqref="F9">
    <cfRule type="expression" priority="159" dxfId="3">
      <formula>MOD(F9,10000)=0</formula>
    </cfRule>
  </conditionalFormatting>
  <conditionalFormatting sqref="C10">
    <cfRule type="duplicateValues" priority="157" dxfId="3"/>
  </conditionalFormatting>
  <conditionalFormatting sqref="D10">
    <cfRule type="expression" priority="156" dxfId="2">
      <formula>WEEKDAY(D10,2)&gt;5</formula>
    </cfRule>
  </conditionalFormatting>
  <conditionalFormatting sqref="F10">
    <cfRule type="expression" priority="155" dxfId="3">
      <formula>MOD(F10,10000)=0</formula>
    </cfRule>
  </conditionalFormatting>
  <conditionalFormatting sqref="C11">
    <cfRule type="duplicateValues" priority="153" dxfId="3"/>
  </conditionalFormatting>
  <conditionalFormatting sqref="D11">
    <cfRule type="expression" priority="152" dxfId="2">
      <formula>WEEKDAY(D11,2)&gt;5</formula>
    </cfRule>
  </conditionalFormatting>
  <conditionalFormatting sqref="F11">
    <cfRule type="expression" priority="151" dxfId="3">
      <formula>MOD(F11,10000)=0</formula>
    </cfRule>
  </conditionalFormatting>
  <conditionalFormatting sqref="C12">
    <cfRule type="duplicateValues" priority="149" dxfId="3"/>
  </conditionalFormatting>
  <conditionalFormatting sqref="D12">
    <cfRule type="expression" priority="148" dxfId="2">
      <formula>WEEKDAY(D12,2)&gt;5</formula>
    </cfRule>
  </conditionalFormatting>
  <conditionalFormatting sqref="F12">
    <cfRule type="expression" priority="147" dxfId="3">
      <formula>MOD(F12,10000)=0</formula>
    </cfRule>
  </conditionalFormatting>
  <conditionalFormatting sqref="C13">
    <cfRule type="duplicateValues" priority="145" dxfId="3"/>
  </conditionalFormatting>
  <conditionalFormatting sqref="D13">
    <cfRule type="expression" priority="144" dxfId="2">
      <formula>WEEKDAY(D13,2)&gt;5</formula>
    </cfRule>
  </conditionalFormatting>
  <conditionalFormatting sqref="F13">
    <cfRule type="expression" priority="143" dxfId="3">
      <formula>MOD(F13,10000)=0</formula>
    </cfRule>
  </conditionalFormatting>
  <conditionalFormatting sqref="C14">
    <cfRule type="duplicateValues" priority="141" dxfId="3"/>
  </conditionalFormatting>
  <conditionalFormatting sqref="D14">
    <cfRule type="expression" priority="140" dxfId="2">
      <formula>WEEKDAY(D14,2)&gt;5</formula>
    </cfRule>
  </conditionalFormatting>
  <conditionalFormatting sqref="F14">
    <cfRule type="expression" priority="139" dxfId="3">
      <formula>MOD(F14,10000)=0</formula>
    </cfRule>
  </conditionalFormatting>
  <conditionalFormatting sqref="C15">
    <cfRule type="duplicateValues" priority="137" dxfId="3"/>
  </conditionalFormatting>
  <conditionalFormatting sqref="D15">
    <cfRule type="expression" priority="136" dxfId="2">
      <formula>WEEKDAY(D15,2)&gt;5</formula>
    </cfRule>
  </conditionalFormatting>
  <conditionalFormatting sqref="F15">
    <cfRule type="expression" priority="135" dxfId="3">
      <formula>MOD(F15,10000)=0</formula>
    </cfRule>
  </conditionalFormatting>
  <conditionalFormatting sqref="C16">
    <cfRule type="duplicateValues" priority="133" dxfId="3"/>
  </conditionalFormatting>
  <conditionalFormatting sqref="D16">
    <cfRule type="expression" priority="132" dxfId="2">
      <formula>WEEKDAY(D16,2)&gt;5</formula>
    </cfRule>
  </conditionalFormatting>
  <conditionalFormatting sqref="F16">
    <cfRule type="expression" priority="131" dxfId="3">
      <formula>MOD(F16,10000)=0</formula>
    </cfRule>
  </conditionalFormatting>
  <conditionalFormatting sqref="C17">
    <cfRule type="duplicateValues" priority="129" dxfId="3"/>
  </conditionalFormatting>
  <conditionalFormatting sqref="D17">
    <cfRule type="expression" priority="128" dxfId="2">
      <formula>WEEKDAY(D17,2)&gt;5</formula>
    </cfRule>
  </conditionalFormatting>
  <conditionalFormatting sqref="F17">
    <cfRule type="expression" priority="127" dxfId="3">
      <formula>MOD(F17,10000)=0</formula>
    </cfRule>
  </conditionalFormatting>
  <conditionalFormatting sqref="C18">
    <cfRule type="duplicateValues" priority="125" dxfId="3"/>
  </conditionalFormatting>
  <conditionalFormatting sqref="D18">
    <cfRule type="expression" priority="124" dxfId="2">
      <formula>WEEKDAY(D18,2)&gt;5</formula>
    </cfRule>
  </conditionalFormatting>
  <conditionalFormatting sqref="F18">
    <cfRule type="expression" priority="123" dxfId="3">
      <formula>MOD(F18,10000)=0</formula>
    </cfRule>
  </conditionalFormatting>
  <conditionalFormatting sqref="C19">
    <cfRule type="duplicateValues" priority="121" dxfId="3"/>
  </conditionalFormatting>
  <conditionalFormatting sqref="D19">
    <cfRule type="expression" priority="120" dxfId="2">
      <formula>WEEKDAY(D19,2)&gt;5</formula>
    </cfRule>
  </conditionalFormatting>
  <conditionalFormatting sqref="F19">
    <cfRule type="expression" priority="119" dxfId="3">
      <formula>MOD(F19,10000)=0</formula>
    </cfRule>
  </conditionalFormatting>
  <conditionalFormatting sqref="C20">
    <cfRule type="duplicateValues" priority="117" dxfId="3"/>
  </conditionalFormatting>
  <conditionalFormatting sqref="D20">
    <cfRule type="expression" priority="116" dxfId="2">
      <formula>WEEKDAY(D20,2)&gt;5</formula>
    </cfRule>
  </conditionalFormatting>
  <conditionalFormatting sqref="F20">
    <cfRule type="expression" priority="115" dxfId="3">
      <formula>MOD(F20,10000)=0</formula>
    </cfRule>
  </conditionalFormatting>
  <conditionalFormatting sqref="C21">
    <cfRule type="duplicateValues" priority="113" dxfId="3"/>
  </conditionalFormatting>
  <conditionalFormatting sqref="D21">
    <cfRule type="expression" priority="112" dxfId="2">
      <formula>WEEKDAY(D21,2)&gt;5</formula>
    </cfRule>
  </conditionalFormatting>
  <conditionalFormatting sqref="F21">
    <cfRule type="expression" priority="111" dxfId="3">
      <formula>MOD(F21,10000)=0</formula>
    </cfRule>
  </conditionalFormatting>
  <conditionalFormatting sqref="C22">
    <cfRule type="duplicateValues" priority="109" dxfId="3"/>
  </conditionalFormatting>
  <conditionalFormatting sqref="D22">
    <cfRule type="expression" priority="108" dxfId="2">
      <formula>WEEKDAY(D22,2)&gt;5</formula>
    </cfRule>
  </conditionalFormatting>
  <conditionalFormatting sqref="F22">
    <cfRule type="expression" priority="107" dxfId="3">
      <formula>MOD(F22,10000)=0</formula>
    </cfRule>
  </conditionalFormatting>
  <conditionalFormatting sqref="C23">
    <cfRule type="duplicateValues" priority="105" dxfId="3"/>
  </conditionalFormatting>
  <conditionalFormatting sqref="D23">
    <cfRule type="expression" priority="104" dxfId="2">
      <formula>WEEKDAY(D23,2)&gt;5</formula>
    </cfRule>
  </conditionalFormatting>
  <conditionalFormatting sqref="F23">
    <cfRule type="expression" priority="103" dxfId="3">
      <formula>MOD(F23,10000)=0</formula>
    </cfRule>
  </conditionalFormatting>
  <conditionalFormatting sqref="C24">
    <cfRule type="duplicateValues" priority="101" dxfId="3"/>
  </conditionalFormatting>
  <conditionalFormatting sqref="D24">
    <cfRule type="expression" priority="100" dxfId="2">
      <formula>WEEKDAY(D24,2)&gt;5</formula>
    </cfRule>
  </conditionalFormatting>
  <conditionalFormatting sqref="F24">
    <cfRule type="expression" priority="99" dxfId="3">
      <formula>MOD(F24,10000)=0</formula>
    </cfRule>
  </conditionalFormatting>
  <conditionalFormatting sqref="C25">
    <cfRule type="duplicateValues" priority="97" dxfId="3"/>
  </conditionalFormatting>
  <conditionalFormatting sqref="D25">
    <cfRule type="expression" priority="96" dxfId="2">
      <formula>WEEKDAY(D25,2)&gt;5</formula>
    </cfRule>
  </conditionalFormatting>
  <conditionalFormatting sqref="F25">
    <cfRule type="expression" priority="95" dxfId="3">
      <formula>MOD(F25,10000)=0</formula>
    </cfRule>
  </conditionalFormatting>
  <conditionalFormatting sqref="C26">
    <cfRule type="duplicateValues" priority="93" dxfId="3"/>
  </conditionalFormatting>
  <conditionalFormatting sqref="D26">
    <cfRule type="expression" priority="92" dxfId="2">
      <formula>WEEKDAY(D26,2)&gt;5</formula>
    </cfRule>
  </conditionalFormatting>
  <conditionalFormatting sqref="F26">
    <cfRule type="expression" priority="91" dxfId="3">
      <formula>MOD(F26,10000)=0</formula>
    </cfRule>
  </conditionalFormatting>
  <conditionalFormatting sqref="C27">
    <cfRule type="duplicateValues" priority="89" dxfId="3"/>
  </conditionalFormatting>
  <conditionalFormatting sqref="D27">
    <cfRule type="expression" priority="88" dxfId="2">
      <formula>WEEKDAY(D27,2)&gt;5</formula>
    </cfRule>
  </conditionalFormatting>
  <conditionalFormatting sqref="F27">
    <cfRule type="expression" priority="87" dxfId="3">
      <formula>MOD(F27,10000)=0</formula>
    </cfRule>
  </conditionalFormatting>
  <conditionalFormatting sqref="C28">
    <cfRule type="duplicateValues" priority="85" dxfId="3"/>
  </conditionalFormatting>
  <conditionalFormatting sqref="D28">
    <cfRule type="expression" priority="84" dxfId="2">
      <formula>WEEKDAY(D28,2)&gt;5</formula>
    </cfRule>
  </conditionalFormatting>
  <conditionalFormatting sqref="F28">
    <cfRule type="expression" priority="83" dxfId="3">
      <formula>MOD(F28,10000)=0</formula>
    </cfRule>
  </conditionalFormatting>
  <conditionalFormatting sqref="C29">
    <cfRule type="duplicateValues" priority="81" dxfId="3"/>
  </conditionalFormatting>
  <conditionalFormatting sqref="D29">
    <cfRule type="expression" priority="80" dxfId="2">
      <formula>WEEKDAY(D29,2)&gt;5</formula>
    </cfRule>
  </conditionalFormatting>
  <conditionalFormatting sqref="F29">
    <cfRule type="expression" priority="79" dxfId="3">
      <formula>MOD(F29,10000)=0</formula>
    </cfRule>
  </conditionalFormatting>
  <conditionalFormatting sqref="C30">
    <cfRule type="duplicateValues" priority="77" dxfId="3"/>
  </conditionalFormatting>
  <conditionalFormatting sqref="D30">
    <cfRule type="expression" priority="76" dxfId="2">
      <formula>WEEKDAY(D30,2)&gt;5</formula>
    </cfRule>
  </conditionalFormatting>
  <conditionalFormatting sqref="F30">
    <cfRule type="expression" priority="75" dxfId="3">
      <formula>MOD(F30,10000)=0</formula>
    </cfRule>
  </conditionalFormatting>
  <conditionalFormatting sqref="C31">
    <cfRule type="duplicateValues" priority="73" dxfId="3"/>
  </conditionalFormatting>
  <conditionalFormatting sqref="D31">
    <cfRule type="expression" priority="72" dxfId="2">
      <formula>WEEKDAY(D31,2)&gt;5</formula>
    </cfRule>
  </conditionalFormatting>
  <conditionalFormatting sqref="F31">
    <cfRule type="expression" priority="71" dxfId="3">
      <formula>MOD(F31,10000)=0</formula>
    </cfRule>
  </conditionalFormatting>
  <conditionalFormatting sqref="C32">
    <cfRule type="duplicateValues" priority="69" dxfId="3"/>
  </conditionalFormatting>
  <conditionalFormatting sqref="D32">
    <cfRule type="expression" priority="68" dxfId="2">
      <formula>WEEKDAY(D32,2)&gt;5</formula>
    </cfRule>
  </conditionalFormatting>
  <conditionalFormatting sqref="F32">
    <cfRule type="expression" priority="67" dxfId="3">
      <formula>MOD(F32,10000)=0</formula>
    </cfRule>
  </conditionalFormatting>
  <conditionalFormatting sqref="C33">
    <cfRule type="duplicateValues" priority="65" dxfId="3"/>
  </conditionalFormatting>
  <conditionalFormatting sqref="D33">
    <cfRule type="expression" priority="64" dxfId="2">
      <formula>WEEKDAY(D33,2)&gt;5</formula>
    </cfRule>
  </conditionalFormatting>
  <conditionalFormatting sqref="F33">
    <cfRule type="expression" priority="63" dxfId="3">
      <formula>MOD(F33,10000)=0</formula>
    </cfRule>
  </conditionalFormatting>
  <conditionalFormatting sqref="C34">
    <cfRule type="duplicateValues" priority="61" dxfId="3"/>
  </conditionalFormatting>
  <conditionalFormatting sqref="D34">
    <cfRule type="expression" priority="60" dxfId="2">
      <formula>WEEKDAY(D34,2)&gt;5</formula>
    </cfRule>
  </conditionalFormatting>
  <conditionalFormatting sqref="F34">
    <cfRule type="expression" priority="59" dxfId="3">
      <formula>MOD(F34,10000)=0</formula>
    </cfRule>
  </conditionalFormatting>
  <conditionalFormatting sqref="C35">
    <cfRule type="duplicateValues" priority="57" dxfId="3"/>
  </conditionalFormatting>
  <conditionalFormatting sqref="D35">
    <cfRule type="expression" priority="56" dxfId="2">
      <formula>WEEKDAY(D35,2)&gt;5</formula>
    </cfRule>
  </conditionalFormatting>
  <conditionalFormatting sqref="F35">
    <cfRule type="expression" priority="55" dxfId="3">
      <formula>MOD(F35,10000)=0</formula>
    </cfRule>
  </conditionalFormatting>
  <conditionalFormatting sqref="C36">
    <cfRule type="duplicateValues" priority="53" dxfId="3"/>
  </conditionalFormatting>
  <conditionalFormatting sqref="D36">
    <cfRule type="expression" priority="52" dxfId="2">
      <formula>WEEKDAY(D36,2)&gt;5</formula>
    </cfRule>
  </conditionalFormatting>
  <conditionalFormatting sqref="F36">
    <cfRule type="expression" priority="51" dxfId="3">
      <formula>MOD(F36,10000)=0</formula>
    </cfRule>
  </conditionalFormatting>
  <conditionalFormatting sqref="C37">
    <cfRule type="duplicateValues" priority="49" dxfId="3"/>
  </conditionalFormatting>
  <conditionalFormatting sqref="D37">
    <cfRule type="expression" priority="48" dxfId="2">
      <formula>WEEKDAY(D37,2)&gt;5</formula>
    </cfRule>
  </conditionalFormatting>
  <conditionalFormatting sqref="F37">
    <cfRule type="expression" priority="47" dxfId="3">
      <formula>MOD(F37,10000)=0</formula>
    </cfRule>
  </conditionalFormatting>
  <conditionalFormatting sqref="C38">
    <cfRule type="duplicateValues" priority="45" dxfId="3"/>
  </conditionalFormatting>
  <conditionalFormatting sqref="D38">
    <cfRule type="expression" priority="44" dxfId="2">
      <formula>WEEKDAY(D38,2)&gt;5</formula>
    </cfRule>
  </conditionalFormatting>
  <conditionalFormatting sqref="F38">
    <cfRule type="expression" priority="43" dxfId="3">
      <formula>MOD(F38,10000)=0</formula>
    </cfRule>
  </conditionalFormatting>
  <conditionalFormatting sqref="C39">
    <cfRule type="duplicateValues" priority="41" dxfId="3"/>
  </conditionalFormatting>
  <conditionalFormatting sqref="D39">
    <cfRule type="expression" priority="40" dxfId="2">
      <formula>WEEKDAY(D39,2)&gt;5</formula>
    </cfRule>
  </conditionalFormatting>
  <conditionalFormatting sqref="F39">
    <cfRule type="expression" priority="39" dxfId="3">
      <formula>MOD(F39,10000)=0</formula>
    </cfRule>
  </conditionalFormatting>
  <conditionalFormatting sqref="C40">
    <cfRule type="duplicateValues" priority="37" dxfId="3"/>
  </conditionalFormatting>
  <conditionalFormatting sqref="D40">
    <cfRule type="expression" priority="36" dxfId="2">
      <formula>WEEKDAY(D40,2)&gt;5</formula>
    </cfRule>
  </conditionalFormatting>
  <conditionalFormatting sqref="F40">
    <cfRule type="expression" priority="35" dxfId="3">
      <formula>MOD(F40,10000)=0</formula>
    </cfRule>
  </conditionalFormatting>
  <conditionalFormatting sqref="C41">
    <cfRule type="duplicateValues" priority="33" dxfId="3"/>
  </conditionalFormatting>
  <conditionalFormatting sqref="D41">
    <cfRule type="expression" priority="32" dxfId="2">
      <formula>WEEKDAY(D41,2)&gt;5</formula>
    </cfRule>
  </conditionalFormatting>
  <conditionalFormatting sqref="F41">
    <cfRule type="expression" priority="31" dxfId="3">
      <formula>MOD(F41,10000)=0</formula>
    </cfRule>
  </conditionalFormatting>
  <conditionalFormatting sqref="C42">
    <cfRule type="duplicateValues" priority="29" dxfId="3"/>
  </conditionalFormatting>
  <conditionalFormatting sqref="D42">
    <cfRule type="expression" priority="28" dxfId="2">
      <formula>WEEKDAY(D42,2)&gt;5</formula>
    </cfRule>
  </conditionalFormatting>
  <conditionalFormatting sqref="F42">
    <cfRule type="expression" priority="27" dxfId="3">
      <formula>MOD(F42,10000)=0</formula>
    </cfRule>
  </conditionalFormatting>
  <conditionalFormatting sqref="C43">
    <cfRule type="duplicateValues" priority="25" dxfId="3"/>
  </conditionalFormatting>
  <conditionalFormatting sqref="D43">
    <cfRule type="expression" priority="24" dxfId="2">
      <formula>WEEKDAY(D43,2)&gt;5</formula>
    </cfRule>
  </conditionalFormatting>
  <conditionalFormatting sqref="F43">
    <cfRule type="expression" priority="23" dxfId="3">
      <formula>MOD(F43,10000)=0</formula>
    </cfRule>
  </conditionalFormatting>
  <conditionalFormatting sqref="C44">
    <cfRule type="duplicateValues" priority="21" dxfId="3"/>
  </conditionalFormatting>
  <conditionalFormatting sqref="D44">
    <cfRule type="expression" priority="20" dxfId="2">
      <formula>WEEKDAY(D44,2)&gt;5</formula>
    </cfRule>
  </conditionalFormatting>
  <conditionalFormatting sqref="F44">
    <cfRule type="expression" priority="19" dxfId="3">
      <formula>MOD(F44,10000)=0</formula>
    </cfRule>
  </conditionalFormatting>
  <conditionalFormatting sqref="C45">
    <cfRule type="duplicateValues" priority="17" dxfId="3"/>
  </conditionalFormatting>
  <conditionalFormatting sqref="D45">
    <cfRule type="expression" priority="16" dxfId="2">
      <formula>WEEKDAY(D45,2)&gt;5</formula>
    </cfRule>
  </conditionalFormatting>
  <conditionalFormatting sqref="F45">
    <cfRule type="expression" priority="15" dxfId="3">
      <formula>MOD(F45,10000)=0</formula>
    </cfRule>
  </conditionalFormatting>
  <conditionalFormatting sqref="C60">
    <cfRule type="duplicateValues" priority="10" dxfId="3"/>
  </conditionalFormatting>
  <conditionalFormatting sqref="C59">
    <cfRule type="duplicateValues" priority="9" dxfId="3"/>
  </conditionalFormatting>
  <conditionalFormatting sqref="C58">
    <cfRule type="duplicateValues" priority="8" dxfId="3"/>
  </conditionalFormatting>
  <conditionalFormatting sqref="C57">
    <cfRule type="duplicateValues" priority="7" dxfId="3"/>
  </conditionalFormatting>
  <conditionalFormatting sqref="C56">
    <cfRule type="duplicateValues" priority="6" dxfId="3"/>
  </conditionalFormatting>
  <conditionalFormatting sqref="C55">
    <cfRule type="duplicateValues" priority="5" dxfId="3"/>
  </conditionalFormatting>
  <conditionalFormatting sqref="C54">
    <cfRule type="duplicateValues" priority="4" dxfId="3"/>
  </conditionalFormatting>
  <conditionalFormatting sqref="C53">
    <cfRule type="duplicateValues" priority="3" dxfId="3"/>
  </conditionalFormatting>
  <conditionalFormatting sqref="C52">
    <cfRule type="duplicateValues" priority="2" dxfId="3"/>
  </conditionalFormatting>
  <conditionalFormatting sqref="C51">
    <cfRule type="duplicateValues" priority="1" dxfId="3"/>
  </conditionalFormatting>
  <conditionalFormatting sqref="F6:F45">
    <cfRule type="expression" priority="174" dxfId="2">
      <formula>AND(COUNTIF($E$3:$E$498,F6)&gt;1,F6&gt;=45000,F6&lt;50000)</formula>
    </cfRule>
  </conditionalFormatting>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F17"/>
  <sheetViews>
    <sheetView workbookViewId="0">
      <selection activeCell="A1" sqref="A1"/>
    </sheetView>
  </sheetViews>
  <sheetFormatPr baseColWidth="8" defaultRowHeight="15"/>
  <cols>
    <col width="10" customWidth="1" style="23" min="1" max="1"/>
    <col width="32" customWidth="1" style="23" min="2" max="2"/>
    <col width="35" customWidth="1" style="23" min="3" max="3"/>
    <col width="50" customWidth="1" style="23" min="4" max="4"/>
    <col width="14" customWidth="1" style="23" min="5" max="5"/>
    <col width="14" customWidth="1" style="23" min="6" max="6"/>
  </cols>
  <sheetData>
    <row r="1" ht="30" customHeight="1" s="23">
      <c r="A1" s="50" t="inlineStr">
        <is>
          <t>SADAPAY (PVT) LTD — AUDIT PROGRAM  |  Audit of Financial Controls over Vendor Payments  |  FY 2024-25</t>
        </is>
      </c>
    </row>
    <row r="2" ht="20" customHeight="1" s="23">
      <c r="A2" s="51" t="inlineStr">
        <is>
          <t>Auditor: ________________   |   Period: 01-Apr-2024 to 31-Mar-2025   |   Date Started: ________   |   Date Completed: ________</t>
        </is>
      </c>
    </row>
    <row r="3" ht="22" customHeight="1" s="23">
      <c r="A3" s="43" t="inlineStr">
        <is>
          <t>Step No.</t>
        </is>
      </c>
      <c r="B3" s="43" t="inlineStr">
        <is>
          <t>Audit Procedure</t>
        </is>
      </c>
      <c r="C3" s="43" t="inlineStr">
        <is>
          <t>Objective</t>
        </is>
      </c>
      <c r="D3" s="43" t="inlineStr">
        <is>
          <t>How to Do It</t>
        </is>
      </c>
      <c r="E3" s="43" t="inlineStr">
        <is>
          <t>Completed?</t>
        </is>
      </c>
      <c r="F3" s="43" t="inlineStr">
        <is>
          <t>Finding Ref</t>
        </is>
      </c>
    </row>
    <row r="4" ht="45" customHeight="1" s="23">
      <c r="A4" s="52" t="inlineStr">
        <is>
          <t>Step 1A</t>
        </is>
      </c>
      <c r="B4" s="53" t="inlineStr">
        <is>
          <t>Review RAW_DATA for obvious problems</t>
        </is>
      </c>
      <c r="C4" s="53" t="inlineStr">
        <is>
          <t>Identify surface-level data issues without formulas</t>
        </is>
      </c>
      <c r="D4" s="53" t="inlineStr">
        <is>
          <t>Scroll through data — check for missing values, negative amounts, future dates, duplicate IDs, round numbers, weird vendor names, weekend transactions</t>
        </is>
      </c>
      <c r="E4" s="54" t="inlineStr">
        <is>
          <t>✅ Done</t>
        </is>
      </c>
      <c r="F4" s="55" t="inlineStr">
        <is>
          <t>F-001, F-002</t>
        </is>
      </c>
    </row>
    <row r="5" ht="45" customHeight="1" s="23">
      <c r="A5" s="56" t="inlineStr">
        <is>
          <t>Step 1B</t>
        </is>
      </c>
      <c r="B5" s="57" t="inlineStr">
        <is>
          <t>Check for Missing Invoices</t>
        </is>
      </c>
      <c r="C5" s="57" t="inlineStr">
        <is>
          <t>Ensure all payments have supporting documentation</t>
        </is>
      </c>
      <c r="D5" s="57" t="inlineStr">
        <is>
          <t>Filter Invoice No. column — find blank cells — cross check with amount and status</t>
        </is>
      </c>
      <c r="E5" s="54" t="inlineStr">
        <is>
          <t>✅ Done</t>
        </is>
      </c>
      <c r="F5" s="55" t="inlineStr">
        <is>
          <t>F-001</t>
        </is>
      </c>
    </row>
    <row r="6" ht="45" customHeight="1" s="23">
      <c r="A6" s="52" t="inlineStr">
        <is>
          <t>Step 1C</t>
        </is>
      </c>
      <c r="B6" s="53" t="inlineStr">
        <is>
          <t>Check for Duplicate Transaction IDs</t>
        </is>
      </c>
      <c r="C6" s="53" t="inlineStr">
        <is>
          <t>Identify payments processed more than once</t>
        </is>
      </c>
      <c r="D6" s="53" t="inlineStr">
        <is>
          <t>Apply COUNTIFS formula on Vendor + Amount columns — filter result &gt; 1</t>
        </is>
      </c>
      <c r="E6" s="54" t="inlineStr">
        <is>
          <t>✅ Done</t>
        </is>
      </c>
      <c r="F6" s="55" t="inlineStr">
        <is>
          <t>F-002</t>
        </is>
      </c>
    </row>
    <row r="7" ht="45" customHeight="1" s="23">
      <c r="A7" s="56" t="inlineStr">
        <is>
          <t>Step 1D</t>
        </is>
      </c>
      <c r="B7" s="57" t="inlineStr">
        <is>
          <t>Check for Round Numbers</t>
        </is>
      </c>
      <c r="C7" s="57" t="inlineStr">
        <is>
          <t>Flag potentially manipulated amounts</t>
        </is>
      </c>
      <c r="D7" s="57" t="inlineStr">
        <is>
          <t>Apply MOD formula =MOD(E3,10000)=0 — apply conditional formatting</t>
        </is>
      </c>
      <c r="E7" s="54" t="inlineStr">
        <is>
          <t>✅ Done</t>
        </is>
      </c>
      <c r="F7" s="56" t="inlineStr">
        <is>
          <t>None</t>
        </is>
      </c>
    </row>
    <row r="8" ht="45" customHeight="1" s="23">
      <c r="A8" s="52" t="inlineStr">
        <is>
          <t>Step 1E</t>
        </is>
      </c>
      <c r="B8" s="53" t="inlineStr">
        <is>
          <t>Check for Weekend Transactions</t>
        </is>
      </c>
      <c r="C8" s="53" t="inlineStr">
        <is>
          <t>Identify payments processed outside business hours</t>
        </is>
      </c>
      <c r="D8" s="53" t="inlineStr">
        <is>
          <t>Apply WEEKDAY formula — filter Saturday/Sunday transactions — cross check with amount and vendor</t>
        </is>
      </c>
      <c r="E8" s="54" t="inlineStr">
        <is>
          <t>✅ Done</t>
        </is>
      </c>
      <c r="F8" s="52" t="inlineStr">
        <is>
          <t>None</t>
        </is>
      </c>
    </row>
    <row r="9" ht="45" customHeight="1" s="23">
      <c r="A9" s="56" t="inlineStr">
        <is>
          <t>Step 1F</t>
        </is>
      </c>
      <c r="B9" s="57" t="inlineStr">
        <is>
          <t>Check for Threshold Splitting</t>
        </is>
      </c>
      <c r="C9" s="57" t="inlineStr">
        <is>
          <t>Identify payments split to avoid approval limits</t>
        </is>
      </c>
      <c r="D9" s="57" t="inlineStr">
        <is>
          <t>Apply COUNTIFS on vendor + amount range PKR 45,000-49,999 — check if same vendor appears multiple times</t>
        </is>
      </c>
      <c r="E9" s="54" t="inlineStr">
        <is>
          <t>✅ Done</t>
        </is>
      </c>
      <c r="F9" s="56" t="inlineStr">
        <is>
          <t>None</t>
        </is>
      </c>
    </row>
    <row r="10" ht="45" customHeight="1" s="23">
      <c r="A10" s="52" t="inlineStr">
        <is>
          <t>Step 2A</t>
        </is>
      </c>
      <c r="B10" s="53" t="inlineStr">
        <is>
          <t>Select Random Sample — 40 Transactions</t>
        </is>
      </c>
      <c r="C10" s="53" t="inlineStr">
        <is>
          <t>Ensure representative coverage of all transactions</t>
        </is>
      </c>
      <c r="D10" s="53" t="inlineStr">
        <is>
          <t>Use =RANDBETWEEN(3,501) — generate 40 row numbers — convert to values — copy transactions to SAMPLING sheet</t>
        </is>
      </c>
      <c r="E10" s="54" t="inlineStr">
        <is>
          <t>✅ Done</t>
        </is>
      </c>
      <c r="F10" s="52" t="inlineStr">
        <is>
          <t>None</t>
        </is>
      </c>
    </row>
    <row r="11" ht="45" customHeight="1" s="23">
      <c r="A11" s="56" t="inlineStr">
        <is>
          <t>Step 2B</t>
        </is>
      </c>
      <c r="B11" s="57" t="inlineStr">
        <is>
          <t>Select Top 10 High Value Transactions</t>
        </is>
      </c>
      <c r="C11" s="57" t="inlineStr">
        <is>
          <t>Ensure highest risk transactions are always tested</t>
        </is>
      </c>
      <c r="D11" s="57" t="inlineStr">
        <is>
          <t>Use =LARGE(RAW_DATA!E3:E501, 1-10) — find transactions in RAW_DATA — paste in SAMPLING sheet</t>
        </is>
      </c>
      <c r="E11" s="54" t="inlineStr">
        <is>
          <t>✅ Done</t>
        </is>
      </c>
      <c r="F11" s="56" t="inlineStr">
        <is>
          <t>None</t>
        </is>
      </c>
    </row>
    <row r="12" ht="45" customHeight="1" s="23">
      <c r="A12" s="52" t="inlineStr">
        <is>
          <t>Step 3A</t>
        </is>
      </c>
      <c r="B12" s="53" t="inlineStr">
        <is>
          <t>Test Approval Controls on Sample</t>
        </is>
      </c>
      <c r="C12" s="53" t="inlineStr">
        <is>
          <t>Verify payments approved by correct authority per policy</t>
        </is>
      </c>
      <c r="D12" s="53" t="inlineStr">
        <is>
          <t>Rule: &lt;50K=Finance Mgr, 50K-200K=VP Finance, &gt;200K=CFO — check Approved By column against Amount</t>
        </is>
      </c>
      <c r="E12" s="54" t="inlineStr">
        <is>
          <t>✅ Done</t>
        </is>
      </c>
      <c r="F12" s="55" t="inlineStr">
        <is>
          <t>F-003</t>
        </is>
      </c>
    </row>
    <row r="13" ht="45" customHeight="1" s="23">
      <c r="A13" s="56" t="inlineStr">
        <is>
          <t>Step 3B</t>
        </is>
      </c>
      <c r="B13" s="57" t="inlineStr">
        <is>
          <t>Verify Invoices on Sampled Transactions</t>
        </is>
      </c>
      <c r="C13" s="57" t="inlineStr">
        <is>
          <t>Confirm supporting documents exist for sampled payments</t>
        </is>
      </c>
      <c r="D13" s="57" t="inlineStr">
        <is>
          <t>Check Invoice No. column for each sampled transaction — blank = missing = flag</t>
        </is>
      </c>
      <c r="E13" s="54" t="inlineStr">
        <is>
          <t>✅ Done</t>
        </is>
      </c>
      <c r="F13" s="55" t="inlineStr">
        <is>
          <t>F-001</t>
        </is>
      </c>
    </row>
    <row r="14" ht="45" customHeight="1" s="23">
      <c r="A14" s="52" t="inlineStr">
        <is>
          <t>Step 4A</t>
        </is>
      </c>
      <c r="B14" s="53" t="inlineStr">
        <is>
          <t>VLOOKUP — Match Payments to Vendor Master</t>
        </is>
      </c>
      <c r="C14" s="53" t="inlineStr">
        <is>
          <t>Ensure all payments made to approved vendors only</t>
        </is>
      </c>
      <c r="D14" s="53">
        <f>VLOOKUP(VendorName, VENDOR_MASTER!B:F, 5, 0) — #N/A or NOT Approved = finding</f>
        <v/>
      </c>
      <c r="E14" s="54" t="inlineStr">
        <is>
          <t>✅ Done</t>
        </is>
      </c>
      <c r="F14" s="52" t="inlineStr">
        <is>
          <t>None</t>
        </is>
      </c>
    </row>
    <row r="15" ht="45" customHeight="1" s="23">
      <c r="A15" s="56" t="inlineStr">
        <is>
          <t>Step 4B</t>
        </is>
      </c>
      <c r="B15" s="57" t="inlineStr">
        <is>
          <t>Verify Vendor NTN Numbers</t>
        </is>
      </c>
      <c r="C15" s="57" t="inlineStr">
        <is>
          <t>Confirm vendors are registered with FBR</t>
        </is>
      </c>
      <c r="D15" s="57" t="inlineStr">
        <is>
          <t>Check NTN column in VENDOR_MASTER — PENDING or blank = unregistered vendor</t>
        </is>
      </c>
      <c r="E15" s="54" t="inlineStr">
        <is>
          <t>✅ Done</t>
        </is>
      </c>
      <c r="F15" s="56" t="inlineStr">
        <is>
          <t>None</t>
        </is>
      </c>
    </row>
    <row r="17" ht="22" customHeight="1" s="23">
      <c r="A17" s="58" t="inlineStr">
        <is>
          <t>AUDIT PROGRAM COMPLETION SUMMARY — All 12 steps completed  |  Total Findings: 3  |  HIGH: 1  |  MEDIUM: 2</t>
        </is>
      </c>
    </row>
  </sheetData>
  <mergeCells count="3">
    <mergeCell ref="A2:F2"/>
    <mergeCell ref="A1:F1"/>
    <mergeCell ref="A17:F17"/>
  </mergeCells>
  <pageMargins left="0.75" right="0.75" top="1" bottom="1" header="0.5" footer="0.5"/>
</worksheet>
</file>

<file path=xl/worksheets/sheet5.xml><?xml version="1.0" encoding="utf-8"?>
<worksheet xmlns="http://schemas.openxmlformats.org/spreadsheetml/2006/main">
  <sheetPr>
    <tabColor rgb="FFC00000"/>
    <outlinePr summaryBelow="1" summaryRight="1"/>
    <pageSetUpPr/>
  </sheetPr>
  <dimension ref="A1:G28"/>
  <sheetViews>
    <sheetView tabSelected="1" workbookViewId="0">
      <selection activeCell="J4" sqref="J4"/>
    </sheetView>
  </sheetViews>
  <sheetFormatPr baseColWidth="8" defaultRowHeight="15"/>
  <cols>
    <col width="12" customWidth="1" style="23" min="1" max="1"/>
    <col width="24" customWidth="1" style="23" min="2" max="2"/>
    <col width="45" customWidth="1" style="23" min="3" max="3"/>
    <col width="12" customWidth="1" style="23" min="4" max="4"/>
    <col width="16" customWidth="1" style="23" min="5" max="5"/>
    <col width="45" customWidth="1" style="23" min="6" max="6"/>
    <col width="14" customWidth="1" style="23" min="7" max="7"/>
  </cols>
  <sheetData>
    <row r="1" ht="23.25" customHeight="1" s="23">
      <c r="A1" s="25" t="inlineStr">
        <is>
          <t>AUDIT FINDINGS WORKING PAPER  |  FY 2024-25</t>
        </is>
      </c>
    </row>
    <row r="2">
      <c r="A2" s="36" t="inlineStr">
        <is>
          <t>Finding No.</t>
        </is>
      </c>
      <c r="B2" s="36" t="inlineStr">
        <is>
          <t>Category</t>
        </is>
      </c>
      <c r="C2" s="36" t="inlineStr">
        <is>
          <t>Description</t>
        </is>
      </c>
      <c r="D2" s="36" t="inlineStr">
        <is>
          <t>Risk Level</t>
        </is>
      </c>
      <c r="E2" s="36" t="inlineStr">
        <is>
          <t>Amount (PKR)</t>
        </is>
      </c>
      <c r="F2" s="36" t="inlineStr">
        <is>
          <t>Recommendation</t>
        </is>
      </c>
      <c r="G2" s="36" t="inlineStr">
        <is>
          <t>Status</t>
        </is>
      </c>
    </row>
    <row r="3" ht="45.75" customHeight="1" s="23">
      <c r="A3" s="30" t="inlineStr">
        <is>
          <t>F-001</t>
        </is>
      </c>
      <c r="B3" s="31" t="inlineStr">
        <is>
          <t>Missing Invoice — Payment Processed Without Documentation</t>
        </is>
      </c>
      <c r="C3" s="31" t="inlineStr">
        <is>
          <t>TXN0048 — Zong Business — PKR 80,648 was paid on 04-Mar-2025 but no invoice was received from the vendor at the time of payment.</t>
        </is>
      </c>
      <c r="D3" s="32" t="inlineStr">
        <is>
          <t>Medium</t>
        </is>
      </c>
      <c r="E3" s="33" t="n">
        <v>80648</v>
      </c>
      <c r="F3" s="31" t="inlineStr">
        <is>
          <t>Obtain invoice from Zong Business immediately. Do not process future payments without a valid invoice.</t>
        </is>
      </c>
      <c r="G3" s="32" t="inlineStr">
        <is>
          <t>Open</t>
        </is>
      </c>
    </row>
    <row r="4" ht="106.5" customHeight="1" s="23">
      <c r="A4" s="30" t="inlineStr">
        <is>
          <t>F-002</t>
        </is>
      </c>
      <c r="B4" s="32" t="inlineStr">
        <is>
          <t>Duplicate Payments _ with different transcation ID's</t>
        </is>
      </c>
      <c r="C4" s="32" t="inlineStr">
        <is>
          <t>Transcation ID's [TXN0122 andTXN0498], Date: 14-Aug-2024  Vendor: Metro Cash &amp; Carry Amount:    PKR 16,735    and in TXN0498 the remark is reprocessed. Same invoice number INV-65176 was used 
in both transactions — confirming this 
is a duplicate payment.</t>
        </is>
      </c>
      <c r="D4" s="32" t="inlineStr">
        <is>
          <t>Medium</t>
        </is>
      </c>
      <c r="E4" s="34" t="n">
        <v>16735</v>
      </c>
      <c r="F4" s="31" t="inlineStr">
        <is>
          <t>Verify whether both payments were actually processed by the bank. If confirmed, reverse TXN0498 immediately and recover PKR 16,735. Strengthen payment controls to prevent reprocessing of already paid invoices.</t>
        </is>
      </c>
      <c r="G4" s="32" t="inlineStr">
        <is>
          <t>Open</t>
        </is>
      </c>
    </row>
    <row r="5" ht="137.25" customHeight="1" s="23">
      <c r="A5" s="37" t="inlineStr">
        <is>
          <t>F-003</t>
        </is>
      </c>
      <c r="B5" s="38" t="inlineStr">
        <is>
          <t>Payment approved below authority Level</t>
        </is>
      </c>
      <c r="C5" s="39" t="inlineStr">
        <is>
          <t>TXN0235 dated 29-Jul-2024 — Vendor: Inbox Business Technologies — Department: Technology — Amount: PKR 285,750. As per company policy, any payment exceeding PKR 200,000 requires approval from the CFO. However this payment was approved by Usman Tariq (Finance Manager) who is only authorized to approve payments up to PKR 50,000. This is a clear bypass of the authorization control.</t>
        </is>
      </c>
      <c r="D5" s="40" t="inlineStr">
        <is>
          <t>High</t>
        </is>
      </c>
      <c r="E5" s="41" t="n">
        <v>285750</v>
      </c>
      <c r="F5" s="40" t="inlineStr">
        <is>
          <t xml:space="preserve">Obtain approval from the CFO for TXN0235 immediately. Conduct a review of all transactions above PKR 200,000 in FY 2024-25 to identify any similar approval violations. Reinforce the payment authorization policy with all Finance Managers and implement a system-level block to prevent junior staff from approving payments above their authorized limit.
</t>
        </is>
      </c>
      <c r="G5" s="40" t="inlineStr">
        <is>
          <t>Open</t>
        </is>
      </c>
    </row>
    <row r="6" ht="45" customHeight="1" s="23">
      <c r="A6" s="11" t="inlineStr">
        <is>
          <t>F-004</t>
        </is>
      </c>
      <c r="B6" s="35" t="n"/>
      <c r="C6" s="35" t="n"/>
      <c r="D6" s="35" t="n"/>
      <c r="E6" s="35" t="n"/>
      <c r="F6" s="35" t="n"/>
      <c r="G6" s="35" t="n"/>
    </row>
    <row r="7" ht="45" customHeight="1" s="23">
      <c r="A7" s="11" t="inlineStr">
        <is>
          <t>F-005</t>
        </is>
      </c>
      <c r="B7" s="13" t="n"/>
      <c r="C7" s="13" t="n"/>
      <c r="D7" s="13" t="n"/>
      <c r="E7" s="13" t="n"/>
      <c r="F7" s="13" t="n"/>
      <c r="G7" s="13" t="n"/>
    </row>
    <row r="8" ht="45" customHeight="1" s="23">
      <c r="A8" s="11" t="inlineStr">
        <is>
          <t>F-006</t>
        </is>
      </c>
      <c r="B8" s="14" t="n"/>
      <c r="C8" s="14" t="n"/>
      <c r="D8" s="14" t="n"/>
      <c r="E8" s="14" t="n"/>
      <c r="F8" s="14" t="n"/>
      <c r="G8" s="14" t="n"/>
    </row>
    <row r="9" ht="45" customHeight="1" s="23">
      <c r="A9" s="11" t="inlineStr">
        <is>
          <t>F-007</t>
        </is>
      </c>
      <c r="B9" s="13" t="n"/>
      <c r="C9" s="13" t="n"/>
      <c r="D9" s="13" t="n"/>
      <c r="E9" s="13" t="n"/>
      <c r="F9" s="13" t="n"/>
      <c r="G9" s="13" t="n"/>
    </row>
    <row r="10" ht="45" customHeight="1" s="23">
      <c r="A10" s="11" t="inlineStr">
        <is>
          <t>F-008</t>
        </is>
      </c>
      <c r="B10" s="14" t="n"/>
      <c r="C10" s="14" t="n"/>
      <c r="D10" s="14" t="n"/>
      <c r="E10" s="14" t="n"/>
      <c r="F10" s="14" t="n"/>
      <c r="G10" s="14" t="n"/>
    </row>
    <row r="11" ht="45" customHeight="1" s="23">
      <c r="A11" s="11" t="inlineStr">
        <is>
          <t>F-009</t>
        </is>
      </c>
      <c r="B11" s="13" t="n"/>
      <c r="C11" s="13" t="n"/>
      <c r="D11" s="13" t="n"/>
      <c r="E11" s="13" t="n"/>
      <c r="F11" s="13" t="n"/>
      <c r="G11" s="13" t="n"/>
    </row>
    <row r="12" ht="45" customHeight="1" s="23">
      <c r="A12" s="11" t="inlineStr">
        <is>
          <t>F-010</t>
        </is>
      </c>
      <c r="B12" s="14" t="n"/>
      <c r="C12" s="14" t="n"/>
      <c r="D12" s="14" t="n"/>
      <c r="E12" s="14" t="n"/>
      <c r="F12" s="14" t="n"/>
      <c r="G12" s="14" t="n"/>
    </row>
    <row r="13" ht="45" customHeight="1" s="23">
      <c r="A13" s="11" t="inlineStr">
        <is>
          <t>F-011</t>
        </is>
      </c>
      <c r="B13" s="13" t="n"/>
      <c r="C13" s="13" t="n"/>
      <c r="D13" s="13" t="n"/>
      <c r="E13" s="13" t="n"/>
      <c r="F13" s="13" t="n"/>
      <c r="G13" s="13" t="n"/>
    </row>
    <row r="14" ht="45" customHeight="1" s="23">
      <c r="A14" s="11" t="inlineStr">
        <is>
          <t>F-012</t>
        </is>
      </c>
      <c r="B14" s="14" t="n"/>
      <c r="C14" s="14" t="n"/>
      <c r="D14" s="14" t="n"/>
      <c r="E14" s="14" t="n"/>
      <c r="F14" s="14" t="n"/>
      <c r="G14" s="14" t="n"/>
    </row>
    <row r="15" ht="45" customHeight="1" s="23">
      <c r="A15" s="11" t="inlineStr">
        <is>
          <t>F-013</t>
        </is>
      </c>
      <c r="B15" s="13" t="n"/>
      <c r="C15" s="13" t="n"/>
      <c r="D15" s="13" t="n"/>
      <c r="E15" s="13" t="n"/>
      <c r="F15" s="13" t="n"/>
      <c r="G15" s="13" t="n"/>
    </row>
    <row r="16" ht="45" customHeight="1" s="23">
      <c r="A16" s="11" t="inlineStr">
        <is>
          <t>F-014</t>
        </is>
      </c>
      <c r="B16" s="14" t="n"/>
      <c r="C16" s="14" t="n"/>
      <c r="D16" s="14" t="n"/>
      <c r="E16" s="14" t="n"/>
      <c r="F16" s="14" t="n"/>
      <c r="G16" s="14" t="n"/>
    </row>
    <row r="17" ht="45" customHeight="1" s="23">
      <c r="A17" s="11" t="inlineStr">
        <is>
          <t>F-015</t>
        </is>
      </c>
      <c r="B17" s="13" t="n"/>
      <c r="C17" s="13" t="n"/>
      <c r="D17" s="13" t="n"/>
      <c r="E17" s="13" t="n"/>
      <c r="F17" s="13" t="n"/>
      <c r="G17" s="13" t="n"/>
    </row>
    <row r="19" ht="22" customHeight="1" s="23">
      <c r="A19" s="59" t="inlineStr">
        <is>
          <t>SAMPLING CONCLUSION</t>
        </is>
      </c>
    </row>
    <row r="20" ht="60" customHeight="1" s="23">
      <c r="A20" s="60" t="inlineStr">
        <is>
          <t>A sample of 50 transactions was selected from a total population of 500 transactions for FY 2024-25 (40 random + 10 highest value). All 10 high value transactions were approved by CFO with valid invoices — no issues noted. Of the 40 random transactions, 39 had no issues. TXN0048 missing invoice already reported as F-001. No additional findings identified through sampling. Total findings raised: 3 (F-001, F-002, F-003).</t>
        </is>
      </c>
      <c r="B20" s="61" t="n"/>
      <c r="C20" s="61" t="n"/>
      <c r="D20" s="61" t="n"/>
      <c r="E20" s="61" t="n"/>
      <c r="F20" s="61" t="n"/>
      <c r="G20" s="61" t="n"/>
    </row>
    <row r="21"/>
    <row r="22"/>
    <row r="24" ht="22" customHeight="1" s="23">
      <c r="A24" s="59" t="inlineStr">
        <is>
          <t>AUDIT SIGN-OFF</t>
        </is>
      </c>
    </row>
    <row r="25" ht="30" customHeight="1" s="23">
      <c r="A25" s="62" t="inlineStr">
        <is>
          <t>Prepared By
(Junior Auditor / Audit Officer)</t>
        </is>
      </c>
      <c r="C25" s="62" t="inlineStr">
        <is>
          <t>Reviewed By
(Senior Auditor)</t>
        </is>
      </c>
      <c r="F25" s="62" t="inlineStr">
        <is>
          <t>Approved By
(Head of Internal Audit)</t>
        </is>
      </c>
    </row>
    <row r="26" ht="22" customHeight="1" s="23">
      <c r="A26" s="53" t="inlineStr">
        <is>
          <t>Name: _______________
Signature: ___________
Date: _______________</t>
        </is>
      </c>
      <c r="C26" s="53" t="inlineStr">
        <is>
          <t>Name: _______________
Signature: ___________
Date: _______________</t>
        </is>
      </c>
      <c r="F26" s="53" t="inlineStr">
        <is>
          <t>Name: _______________
Signature: ___________
Date: _______________</t>
        </is>
      </c>
    </row>
    <row r="27" ht="22" customHeight="1" s="23"/>
    <row r="28" ht="22" customHeight="1" s="23"/>
  </sheetData>
  <mergeCells count="10">
    <mergeCell ref="A1:G1"/>
    <mergeCell ref="A25:B25"/>
    <mergeCell ref="C26:E28"/>
    <mergeCell ref="F25:G25"/>
    <mergeCell ref="A24:G24"/>
    <mergeCell ref="A20:G22"/>
    <mergeCell ref="A26:B28"/>
    <mergeCell ref="A19:G19"/>
    <mergeCell ref="C25:E25"/>
    <mergeCell ref="F26:G28"/>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2026-02-25T22:38:02Z</dcterms:created>
  <dcterms:modified xmlns:dcterms="http://purl.org/dc/terms/" xmlns:xsi="http://www.w3.org/2001/XMLSchema-instance" xsi:type="dcterms:W3CDTF">2026-02-26T10:46:57Z</dcterms:modified>
</cp:coreProperties>
</file>